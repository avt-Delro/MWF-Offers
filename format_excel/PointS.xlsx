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tvtireinc-my.sharepoint.com/personal/vjdelrosario_avatco_com/Documents/Desktop/MWF Offers/format_excel/"/>
    </mc:Choice>
  </mc:AlternateContent>
  <xr:revisionPtr revIDLastSave="245" documentId="11_F25DC773A252ABDACC1048891919571A5BDE58EF" xr6:coauthVersionLast="47" xr6:coauthVersionMax="47" xr10:uidLastSave="{6FC45F7E-E2F4-4461-A6A0-C40CBC1F56AE}"/>
  <bookViews>
    <workbookView xWindow="34305" yWindow="570" windowWidth="21600" windowHeight="11295" activeTab="1" xr2:uid="{00000000-000D-0000-FFFF-FFFF00000000}"/>
  </bookViews>
  <sheets>
    <sheet name="LTL" sheetId="1" r:id="rId1"/>
    <sheet name="Trailer_Loa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" i="1" l="1"/>
  <c r="O2" i="1"/>
  <c r="Z2" i="1"/>
  <c r="AA2" i="1" s="1"/>
  <c r="AK2" i="1"/>
  <c r="AL2" i="1" s="1"/>
  <c r="AR2" i="1"/>
  <c r="AZ2" i="1"/>
  <c r="AZ1" i="1"/>
  <c r="AS2" i="2"/>
  <c r="AT3" i="2" s="1"/>
  <c r="AG2" i="2"/>
  <c r="V2" i="2"/>
  <c r="W2" i="2" s="1"/>
  <c r="J2" i="2"/>
  <c r="K3" i="2" s="1"/>
  <c r="U1" i="2"/>
  <c r="AF1" i="2"/>
  <c r="AS1" i="2"/>
  <c r="BC1" i="2"/>
  <c r="BC3" i="2"/>
  <c r="BC2" i="2"/>
  <c r="BD3" i="2" s="1"/>
  <c r="I1" i="2"/>
  <c r="AS3" i="2"/>
  <c r="AG3" i="2"/>
  <c r="V3" i="2"/>
  <c r="J3" i="2"/>
  <c r="AL2" i="2"/>
  <c r="Z2" i="2"/>
  <c r="AA2" i="2" s="1"/>
  <c r="Z1" i="2"/>
  <c r="K3" i="1"/>
  <c r="J3" i="1"/>
  <c r="AS2" i="1"/>
  <c r="P2" i="1"/>
  <c r="J2" i="1"/>
  <c r="K2" i="1" s="1"/>
  <c r="AR1" i="1"/>
  <c r="AK1" i="1"/>
  <c r="Z1" i="1"/>
  <c r="O1" i="1"/>
  <c r="I1" i="1"/>
  <c r="BD2" i="2" l="1"/>
  <c r="AH3" i="2"/>
  <c r="AH2" i="2"/>
  <c r="AT2" i="2"/>
  <c r="W3" i="2"/>
  <c r="K2" i="2"/>
</calcChain>
</file>

<file path=xl/sharedStrings.xml><?xml version="1.0" encoding="utf-8"?>
<sst xmlns="http://schemas.openxmlformats.org/spreadsheetml/2006/main" count="129" uniqueCount="59">
  <si>
    <t>WTD Wholesale Tire Distributors</t>
  </si>
  <si>
    <t>California TOLL FREE: (877)449-4335</t>
  </si>
  <si>
    <t>CA LTL TOTAL AMOUNT LOAD:</t>
  </si>
  <si>
    <t>PA LTL TOTAL AMOUNT LOAD:</t>
  </si>
  <si>
    <t>KY LTL TOTAL AMOUNT LOAD:</t>
  </si>
  <si>
    <t>TX LTL TOTAL AMOUNT LOAD:</t>
  </si>
  <si>
    <t>Customer Name:</t>
  </si>
  <si>
    <t>CA LTL Total Units (min of 300 Units):</t>
  </si>
  <si>
    <t>PA LTL Total Units (min of 300 Units):</t>
  </si>
  <si>
    <t>KY LTL Total Units (min of 300 Units):</t>
  </si>
  <si>
    <t>TX LTL Total Units (min of 300 Units):</t>
  </si>
  <si>
    <t>Account #:</t>
  </si>
  <si>
    <t>PO #:</t>
  </si>
  <si>
    <t>Date:</t>
  </si>
  <si>
    <t>Apr 3, 2026</t>
  </si>
  <si>
    <t>Brand</t>
  </si>
  <si>
    <t>Product Code</t>
  </si>
  <si>
    <t>Size</t>
  </si>
  <si>
    <t>Load Speed</t>
  </si>
  <si>
    <t>Pattern</t>
  </si>
  <si>
    <t>Position</t>
  </si>
  <si>
    <t>Ply</t>
  </si>
  <si>
    <t>California On
Hand Inventory</t>
  </si>
  <si>
    <t>Fill In</t>
  </si>
  <si>
    <t>CA FILL-IN ORDER QTY</t>
  </si>
  <si>
    <t>Fill In Subtotal</t>
  </si>
  <si>
    <t>LTL</t>
  </si>
  <si>
    <t>CA LTL ORDER QTY</t>
  </si>
  <si>
    <t>LTL Subtotal</t>
  </si>
  <si>
    <t>F.E.T.</t>
  </si>
  <si>
    <t>Cut/Fill</t>
  </si>
  <si>
    <t>Latrobe On
Hand Inventory</t>
  </si>
  <si>
    <t>PA FILL-IN ORDER QTY</t>
  </si>
  <si>
    <t>PA LTL ORDER QTY</t>
  </si>
  <si>
    <t>Kentucky On
Hand Inventory</t>
  </si>
  <si>
    <t>KY FILL-IN ORDER QTY</t>
  </si>
  <si>
    <t>Fill In SubTotal</t>
  </si>
  <si>
    <t>KY LTL ORDER QTY</t>
  </si>
  <si>
    <t>LTL In SubTotal</t>
  </si>
  <si>
    <t>Texas On
Hand Inventory</t>
  </si>
  <si>
    <t>TX LTL ORDER QTY</t>
  </si>
  <si>
    <t>CA FILL-IN TOTAL AMOUNT LOAD:</t>
  </si>
  <si>
    <t>PA FILL-IN TOTAL AMOUNT LOAD:</t>
  </si>
  <si>
    <t>KY FILL-IN TOTAL AMOUNT LOAD:</t>
  </si>
  <si>
    <t>TX FILL-IN TOTAL AMOUNT LOAD:</t>
  </si>
  <si>
    <t>CA Fill-In Total Weight (full load met at 42k lbs):</t>
  </si>
  <si>
    <t>CA LTL Total Weight (min of 300 Units):</t>
  </si>
  <si>
    <t>PA Fill-In Total Weight (full load met at 42k lbs):</t>
  </si>
  <si>
    <t>PA LTL Total Weight (min of 300 Units):</t>
  </si>
  <si>
    <t>KY Fill-In Total Weight (full load met at 42k lbs):</t>
  </si>
  <si>
    <t>TX Fill-In Total Weight (full load met at 42k lbs):</t>
  </si>
  <si>
    <t>CA Fill-In Total Piece Count:</t>
  </si>
  <si>
    <t>PA Fill-In Total Piece Count:</t>
  </si>
  <si>
    <t>KY Fill-In Total Piece Count:</t>
  </si>
  <si>
    <t>TX Fill-In Total Piece Count:</t>
  </si>
  <si>
    <t>TX FILL-IN ORDER QTY</t>
  </si>
  <si>
    <t>Carrolton FILL-IN ORDER QTY</t>
  </si>
  <si>
    <t>Forthworth On
Hand Inventory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</si>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</sst>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8"/>
      <color rgb="FF000000"/>
      <name val="Calibri"/>
      <family val="2"/>
    </font>
    <font>
      <b/>
      <sz val="13"/>
      <color rgb="FF000000"/>
      <name val="Calibri"/>
      <family val="2"/>
    </font>
    <font>
      <b/>
      <sz val="10"/>
      <color rgb="FFFF0000"/>
      <name val="Calibri"/>
      <family val="2"/>
    </font>
    <font>
      <b/>
      <sz val="9"/>
      <color rgb="FFFF0000"/>
      <name val="Calibri"/>
      <family val="2"/>
    </font>
    <font>
      <b/>
      <sz val="12"/>
      <color rgb="FF000000"/>
      <name val="Calibri"/>
      <family val="2"/>
    </font>
    <font>
      <b/>
      <sz val="18"/>
      <color rgb="FF000000"/>
      <name val="Calibri"/>
      <family val="2"/>
    </font>
    <font>
      <b/>
      <sz val="13"/>
      <color rgb="FF000000"/>
      <name val="Calibri"/>
      <family val="2"/>
    </font>
    <font>
      <b/>
      <sz val="10"/>
      <color rgb="FFFF0000"/>
      <name val="Calibri"/>
      <family val="2"/>
    </font>
    <font>
      <b/>
      <sz val="9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164" fontId="0" fillId="0" borderId="1" xfId="0" applyNumberFormat="1" applyBorder="1"/>
    <xf numFmtId="164" fontId="7" fillId="0" borderId="2" xfId="0" applyNumberFormat="1" applyFont="1" applyBorder="1" applyAlignment="1">
      <alignment horizontal="left" vertical="center"/>
    </xf>
    <xf numFmtId="0" fontId="0" fillId="0" borderId="2" xfId="0" applyBorder="1"/>
    <xf numFmtId="0" fontId="0" fillId="0" borderId="4" xfId="0" applyBorder="1"/>
    <xf numFmtId="0" fontId="9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6" fillId="2" borderId="2" xfId="0" applyFont="1" applyFill="1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164" fontId="2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0" fillId="0" borderId="3" xfId="0" applyBorder="1"/>
    <xf numFmtId="0" fontId="1" fillId="2" borderId="3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64" fontId="2" fillId="0" borderId="5" xfId="0" applyNumberFormat="1" applyFont="1" applyBorder="1" applyAlignment="1">
      <alignment horizontal="left" vertical="center"/>
    </xf>
    <xf numFmtId="0" fontId="0" fillId="0" borderId="6" xfId="0" applyBorder="1"/>
    <xf numFmtId="0" fontId="3" fillId="0" borderId="4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/>
    <xf numFmtId="0" fontId="6" fillId="0" borderId="1" xfId="0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left" vertical="center"/>
    </xf>
    <xf numFmtId="164" fontId="7" fillId="0" borderId="2" xfId="0" applyNumberFormat="1" applyFont="1" applyBorder="1" applyAlignment="1">
      <alignment horizontal="left" vertical="center"/>
    </xf>
    <xf numFmtId="164" fontId="7" fillId="0" borderId="3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1" fillId="3" borderId="1" xfId="0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4">
    <dxf>
      <fill>
        <patternFill patternType="solid"/>
      </fill>
    </dxf>
    <dxf>
      <fill>
        <patternFill patternType="solid">
          <bgColor rgb="FFFF0000"/>
        </patternFill>
      </fill>
    </dxf>
    <dxf>
      <fill>
        <patternFill patternType="solid"/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"/>
  <sheetViews>
    <sheetView topLeftCell="AP1" zoomScale="115" zoomScaleNormal="115" workbookViewId="0">
      <selection activeCell="AS15" sqref="AS15"/>
    </sheetView>
  </sheetViews>
  <sheetFormatPr defaultColWidth="17.42578125" defaultRowHeight="15" x14ac:dyDescent="0.25"/>
  <cols>
    <col min="1" max="1" width="27.28515625" customWidth="1"/>
    <col min="2" max="2" width="23.42578125" customWidth="1"/>
    <col min="4" max="4" width="21.5703125" customWidth="1"/>
    <col min="8" max="8" width="30.85546875" bestFit="1" customWidth="1"/>
    <col min="9" max="11" width="0" hidden="1" customWidth="1"/>
    <col min="14" max="14" width="13.28515625" bestFit="1" customWidth="1"/>
    <col min="19" max="21" width="0" hidden="1" customWidth="1"/>
    <col min="24" max="24" width="19" customWidth="1"/>
    <col min="25" max="25" width="23.5703125" customWidth="1"/>
    <col min="28" max="28" width="0" hidden="1" customWidth="1"/>
    <col min="30" max="31" width="0" hidden="1" customWidth="1"/>
    <col min="32" max="32" width="2" hidden="1" customWidth="1"/>
    <col min="36" max="36" width="23" customWidth="1"/>
    <col min="43" max="43" width="25.140625" customWidth="1"/>
    <col min="45" max="45" width="22.5703125" customWidth="1"/>
    <col min="47" max="47" width="19.85546875" customWidth="1"/>
    <col min="51" max="51" width="24.85546875" customWidth="1"/>
  </cols>
  <sheetData>
    <row r="1" spans="1:53" ht="23.25" x14ac:dyDescent="0.25">
      <c r="A1" s="68" t="s">
        <v>0</v>
      </c>
      <c r="B1" s="70" t="s">
        <v>1</v>
      </c>
      <c r="C1" s="70"/>
      <c r="D1" s="71"/>
      <c r="E1" s="72"/>
      <c r="F1" s="72"/>
      <c r="G1" s="72"/>
      <c r="H1" s="72"/>
      <c r="I1" s="73">
        <f>SUM(K6:K837)</f>
        <v>0</v>
      </c>
      <c r="J1" s="66"/>
      <c r="K1" s="1"/>
      <c r="L1" s="64" t="s">
        <v>2</v>
      </c>
      <c r="M1" s="64"/>
      <c r="N1" s="56"/>
      <c r="O1" s="59">
        <f>SUM(N6:N837)</f>
        <v>0</v>
      </c>
      <c r="P1" s="60"/>
      <c r="Q1" s="3"/>
      <c r="R1" s="64"/>
      <c r="S1" s="64"/>
      <c r="T1" s="65"/>
      <c r="U1" s="66"/>
      <c r="V1" s="67"/>
      <c r="W1" s="2"/>
      <c r="X1" s="64" t="s">
        <v>3</v>
      </c>
      <c r="Y1" s="56"/>
      <c r="Z1" s="59">
        <f>SUM(X6:X837)</f>
        <v>0</v>
      </c>
      <c r="AA1" s="59"/>
      <c r="AB1" s="3"/>
      <c r="AC1" s="56"/>
      <c r="AD1" s="56"/>
      <c r="AE1" s="56"/>
      <c r="AF1" s="59"/>
      <c r="AG1" s="59"/>
      <c r="AH1" s="1"/>
      <c r="AI1" s="56" t="s">
        <v>4</v>
      </c>
      <c r="AJ1" s="56"/>
      <c r="AK1" s="4">
        <f>SUM(AI6:AI837)</f>
        <v>0</v>
      </c>
      <c r="AL1" s="1"/>
      <c r="AM1" s="1"/>
      <c r="AN1" s="1"/>
      <c r="AO1" s="1"/>
      <c r="AP1" s="56" t="s">
        <v>5</v>
      </c>
      <c r="AQ1" s="56"/>
      <c r="AR1" s="32">
        <f>SUM(AP6:AP837)</f>
        <v>0</v>
      </c>
      <c r="AS1" s="26"/>
      <c r="AT1" s="26"/>
      <c r="AU1" s="36"/>
      <c r="AV1" s="1"/>
      <c r="AW1" s="1"/>
      <c r="AX1" s="56" t="s">
        <v>5</v>
      </c>
      <c r="AY1" s="56"/>
      <c r="AZ1" s="39">
        <f>SUM(AX6:AX837)</f>
        <v>0</v>
      </c>
    </row>
    <row r="2" spans="1:53" ht="36" x14ac:dyDescent="0.25">
      <c r="A2" s="69"/>
      <c r="B2" s="5" t="s">
        <v>6</v>
      </c>
      <c r="C2" s="61"/>
      <c r="D2" s="61"/>
      <c r="E2" s="62"/>
      <c r="F2" s="62"/>
      <c r="G2" s="62"/>
      <c r="H2" s="62"/>
      <c r="I2" s="62"/>
      <c r="J2" s="6">
        <f>SUM(BD6:BD837)</f>
        <v>0</v>
      </c>
      <c r="K2" s="7" t="str">
        <f>IF(J2&gt;42000,"WEIGHT EXCEEDS LIMIT, PLEASE ASSIGN CUT ITEM","")</f>
        <v/>
      </c>
      <c r="L2" s="63" t="s">
        <v>7</v>
      </c>
      <c r="M2" s="63"/>
      <c r="N2" s="63"/>
      <c r="O2" s="8">
        <f>SUM(M6:M3000)</f>
        <v>0</v>
      </c>
      <c r="P2" s="9" t="str">
        <f>IF(O2&lt;300,"MIN. QTY FOR LTL is 300, PLEASE ADJUST ORDER QTY","")</f>
        <v>MIN. QTY FOR LTL is 300, PLEASE ADJUST ORDER QTY</v>
      </c>
      <c r="Q2" s="1"/>
      <c r="R2" s="63"/>
      <c r="S2" s="63"/>
      <c r="T2" s="63"/>
      <c r="U2" s="63"/>
      <c r="V2" s="8"/>
      <c r="W2" s="10"/>
      <c r="X2" s="63" t="s">
        <v>8</v>
      </c>
      <c r="Y2" s="63"/>
      <c r="Z2" s="11">
        <f>SUM(W6:W3000)</f>
        <v>0</v>
      </c>
      <c r="AA2" s="9" t="str">
        <f>IF(Z2&lt;300,"MIN. QTY FOR LTL is 300, PLEASE ADJUST ORDER QTY","")</f>
        <v>MIN. QTY FOR LTL is 300, PLEASE ADJUST ORDER QTY</v>
      </c>
      <c r="AB2" s="1"/>
      <c r="AC2" s="63"/>
      <c r="AD2" s="63"/>
      <c r="AE2" s="63"/>
      <c r="AF2" s="63"/>
      <c r="AG2" s="8"/>
      <c r="AH2" s="10"/>
      <c r="AI2" s="57" t="s">
        <v>9</v>
      </c>
      <c r="AJ2" s="57"/>
      <c r="AK2" s="11">
        <f>SUM(AH6:AH3000)</f>
        <v>0</v>
      </c>
      <c r="AL2" s="9" t="str">
        <f>IF(AK2&lt;300,"MIN. QTY FOR LTL is 300, PLEASE ADJUST ORDER QTY","")</f>
        <v>MIN. QTY FOR LTL is 300, PLEASE ADJUST ORDER QTY</v>
      </c>
      <c r="AM2" s="1"/>
      <c r="AN2" s="1"/>
      <c r="AO2" s="1"/>
      <c r="AP2" s="57" t="s">
        <v>10</v>
      </c>
      <c r="AQ2" s="57"/>
      <c r="AR2" s="33">
        <f>SUM(AO6:AO3000)</f>
        <v>0</v>
      </c>
      <c r="AS2" s="35" t="str">
        <f>IF(AR2&lt;300,"MIN. QTY FOR LTL is 300, PLEASE ADJUST ORDER QTY","")</f>
        <v>MIN. QTY FOR LTL is 300, PLEASE ADJUST ORDER QTY</v>
      </c>
      <c r="AT2" s="26"/>
      <c r="AU2" s="36"/>
      <c r="AV2" s="1"/>
      <c r="AW2" s="1"/>
      <c r="AX2" s="57" t="s">
        <v>10</v>
      </c>
      <c r="AY2" s="58"/>
      <c r="AZ2" s="41">
        <f>SUM(AW6:AW3000)</f>
        <v>0</v>
      </c>
      <c r="BA2" s="38" t="str">
        <f>IF(AZ2&lt;300,"MIN. QTY FOR LTL is 300, PLEASE ADJUST ORDER QTY","")</f>
        <v>MIN. QTY FOR LTL is 300, PLEASE ADJUST ORDER QTY</v>
      </c>
    </row>
    <row r="3" spans="1:53" ht="38.25" x14ac:dyDescent="0.25">
      <c r="A3" s="69"/>
      <c r="B3" s="5" t="s">
        <v>11</v>
      </c>
      <c r="C3" s="61"/>
      <c r="D3" s="61"/>
      <c r="E3" s="62"/>
      <c r="F3" s="62"/>
      <c r="G3" s="62"/>
      <c r="H3" s="62"/>
      <c r="I3" s="62"/>
      <c r="J3" s="6">
        <f>SUM(J6:J837)</f>
        <v>0</v>
      </c>
      <c r="K3" s="7" t="str">
        <f>IF(J2&lt;42000,"WEIGHT UNDER LIMIT, PLEASE ASSIGN FILL ITEM","")</f>
        <v>WEIGHT UNDER LIMIT, PLEASE ASSIGN FILL ITEM</v>
      </c>
      <c r="L3" s="45"/>
      <c r="M3" s="45"/>
      <c r="N3" s="45"/>
      <c r="O3" s="1"/>
      <c r="P3" s="1"/>
      <c r="Q3" s="1"/>
      <c r="R3" s="63"/>
      <c r="S3" s="63"/>
      <c r="T3" s="63"/>
      <c r="U3" s="63"/>
      <c r="V3" s="8"/>
      <c r="W3" s="10"/>
      <c r="X3" s="8"/>
      <c r="Y3" s="8"/>
      <c r="Z3" s="8"/>
      <c r="AA3" s="1"/>
      <c r="AB3" s="1"/>
      <c r="AC3" s="63"/>
      <c r="AD3" s="63"/>
      <c r="AE3" s="63"/>
      <c r="AF3" s="63"/>
      <c r="AG3" s="8"/>
      <c r="AH3" s="10"/>
      <c r="AI3" s="1"/>
      <c r="AJ3" s="1"/>
      <c r="AK3" s="1"/>
      <c r="AL3" s="1"/>
      <c r="AM3" s="1"/>
      <c r="AN3" s="1"/>
      <c r="AO3" s="1"/>
      <c r="AP3" s="1"/>
      <c r="AQ3" s="1"/>
      <c r="AR3" s="25"/>
      <c r="AS3" s="26"/>
      <c r="AT3" s="26"/>
      <c r="AU3" s="36"/>
      <c r="AV3" s="1"/>
      <c r="AW3" s="1"/>
      <c r="AX3" s="1"/>
      <c r="AY3" s="1"/>
      <c r="AZ3" s="40"/>
    </row>
    <row r="4" spans="1:53" ht="17.25" x14ac:dyDescent="0.25">
      <c r="A4" s="1"/>
      <c r="B4" s="5" t="s">
        <v>12</v>
      </c>
      <c r="C4" s="61"/>
      <c r="D4" s="61"/>
      <c r="E4" s="62" t="s">
        <v>13</v>
      </c>
      <c r="F4" s="62"/>
      <c r="G4" s="62"/>
      <c r="H4" s="62"/>
      <c r="I4" s="62"/>
      <c r="J4" s="6" t="s">
        <v>14</v>
      </c>
      <c r="K4" s="1"/>
      <c r="L4" s="1"/>
      <c r="M4" s="1"/>
      <c r="N4" s="1"/>
      <c r="O4" s="1"/>
      <c r="P4" s="1"/>
      <c r="Q4" s="1"/>
      <c r="R4" s="45"/>
      <c r="S4" s="45"/>
      <c r="T4" s="45"/>
      <c r="U4" s="45"/>
      <c r="V4" s="1"/>
      <c r="W4" s="1"/>
      <c r="X4" s="1"/>
      <c r="Y4" s="1"/>
      <c r="Z4" s="1"/>
      <c r="AA4" s="1"/>
      <c r="AB4" s="1"/>
      <c r="AC4" s="63"/>
      <c r="AD4" s="63"/>
      <c r="AE4" s="63"/>
      <c r="AF4" s="63"/>
      <c r="AG4" s="8"/>
      <c r="AH4" s="1"/>
      <c r="AI4" s="1"/>
      <c r="AJ4" s="1"/>
      <c r="AK4" s="1"/>
      <c r="AL4" s="1"/>
      <c r="AM4" s="1"/>
      <c r="AN4" s="1"/>
      <c r="AO4" s="1"/>
      <c r="AP4" s="1"/>
      <c r="AQ4" s="1"/>
      <c r="AR4" s="25"/>
      <c r="AS4" s="26"/>
      <c r="AT4" s="26"/>
      <c r="AU4" s="36"/>
      <c r="AV4" s="1"/>
      <c r="AW4" s="1"/>
      <c r="AX4" s="1"/>
      <c r="AY4" s="1"/>
      <c r="AZ4" s="1"/>
    </row>
    <row r="5" spans="1:53" ht="37.5" customHeight="1" x14ac:dyDescent="0.25">
      <c r="A5" s="12" t="s">
        <v>15</v>
      </c>
      <c r="B5" s="12" t="s">
        <v>16</v>
      </c>
      <c r="C5" s="12" t="s">
        <v>17</v>
      </c>
      <c r="D5" s="12" t="s">
        <v>18</v>
      </c>
      <c r="E5" s="13" t="s">
        <v>19</v>
      </c>
      <c r="F5" s="12" t="s">
        <v>20</v>
      </c>
      <c r="G5" s="12" t="s">
        <v>21</v>
      </c>
      <c r="H5" s="12" t="s">
        <v>22</v>
      </c>
      <c r="I5" s="12" t="s">
        <v>23</v>
      </c>
      <c r="J5" s="13" t="s">
        <v>24</v>
      </c>
      <c r="K5" s="12" t="s">
        <v>25</v>
      </c>
      <c r="L5" s="12" t="s">
        <v>26</v>
      </c>
      <c r="M5" s="13" t="s">
        <v>27</v>
      </c>
      <c r="N5" s="12" t="s">
        <v>28</v>
      </c>
      <c r="O5" s="12" t="s">
        <v>29</v>
      </c>
      <c r="P5" s="12" t="s">
        <v>30</v>
      </c>
      <c r="Q5" s="1"/>
      <c r="R5" s="13" t="s">
        <v>31</v>
      </c>
      <c r="S5" s="12" t="s">
        <v>23</v>
      </c>
      <c r="T5" s="13" t="s">
        <v>32</v>
      </c>
      <c r="U5" s="12" t="s">
        <v>25</v>
      </c>
      <c r="V5" s="12" t="s">
        <v>26</v>
      </c>
      <c r="W5" s="13" t="s">
        <v>33</v>
      </c>
      <c r="X5" s="12" t="s">
        <v>28</v>
      </c>
      <c r="Y5" s="12" t="s">
        <v>29</v>
      </c>
      <c r="Z5" s="12" t="s">
        <v>30</v>
      </c>
      <c r="AA5" s="1"/>
      <c r="AB5" s="1"/>
      <c r="AC5" s="13" t="s">
        <v>34</v>
      </c>
      <c r="AD5" s="12" t="s">
        <v>23</v>
      </c>
      <c r="AE5" s="13" t="s">
        <v>35</v>
      </c>
      <c r="AF5" s="12" t="s">
        <v>36</v>
      </c>
      <c r="AG5" s="12" t="s">
        <v>26</v>
      </c>
      <c r="AH5" s="13" t="s">
        <v>37</v>
      </c>
      <c r="AI5" s="12" t="s">
        <v>38</v>
      </c>
      <c r="AJ5" s="12" t="s">
        <v>29</v>
      </c>
      <c r="AK5" s="12" t="s">
        <v>30</v>
      </c>
      <c r="AL5" s="1"/>
      <c r="AM5" s="13" t="s">
        <v>39</v>
      </c>
      <c r="AN5" s="12" t="s">
        <v>26</v>
      </c>
      <c r="AO5" s="13" t="s">
        <v>40</v>
      </c>
      <c r="AP5" s="12" t="s">
        <v>38</v>
      </c>
      <c r="AQ5" s="12" t="s">
        <v>29</v>
      </c>
      <c r="AR5" s="34" t="s">
        <v>30</v>
      </c>
      <c r="AS5" s="26"/>
      <c r="AT5" s="26"/>
      <c r="AU5" s="37" t="s">
        <v>57</v>
      </c>
      <c r="AV5" s="12" t="s">
        <v>26</v>
      </c>
      <c r="AW5" s="13" t="s">
        <v>40</v>
      </c>
      <c r="AX5" s="12" t="s">
        <v>38</v>
      </c>
      <c r="AY5" s="12" t="s">
        <v>29</v>
      </c>
      <c r="AZ5" s="12" t="s">
        <v>30</v>
      </c>
    </row>
  </sheetData>
  <mergeCells count="33">
    <mergeCell ref="C4:D4"/>
    <mergeCell ref="E4:I4"/>
    <mergeCell ref="R4:U4"/>
    <mergeCell ref="AC4:AF4"/>
    <mergeCell ref="Z1:AA1"/>
    <mergeCell ref="AC1:AE1"/>
    <mergeCell ref="AF1:AG1"/>
    <mergeCell ref="R3:U3"/>
    <mergeCell ref="AC3:AF3"/>
    <mergeCell ref="A1:A3"/>
    <mergeCell ref="B1:D1"/>
    <mergeCell ref="E1:H1"/>
    <mergeCell ref="I1:J1"/>
    <mergeCell ref="L1:N1"/>
    <mergeCell ref="C2:D2"/>
    <mergeCell ref="E2:I2"/>
    <mergeCell ref="L2:N2"/>
    <mergeCell ref="AX1:AY1"/>
    <mergeCell ref="AX2:AY2"/>
    <mergeCell ref="O1:P1"/>
    <mergeCell ref="C3:D3"/>
    <mergeCell ref="E3:I3"/>
    <mergeCell ref="L3:N3"/>
    <mergeCell ref="AI1:AJ1"/>
    <mergeCell ref="AP1:AQ1"/>
    <mergeCell ref="R2:U2"/>
    <mergeCell ref="X2:Y2"/>
    <mergeCell ref="AC2:AF2"/>
    <mergeCell ref="AI2:AJ2"/>
    <mergeCell ref="AP2:AQ2"/>
    <mergeCell ref="R1:T1"/>
    <mergeCell ref="U1:V1"/>
    <mergeCell ref="X1:Y1"/>
  </mergeCells>
  <conditionalFormatting sqref="J2">
    <cfRule type="cellIs" dxfId="3" priority="1" operator="greaterThanOrEqual">
      <formula>42001</formula>
    </cfRule>
  </conditionalFormatting>
  <conditionalFormatting sqref="P2">
    <cfRule type="cellIs" dxfId="2" priority="2" operator="greaterThanOrEqual">
      <formula>300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7594-C7B3-4A0A-8416-47B0384FC067}">
  <dimension ref="A1:BD837"/>
  <sheetViews>
    <sheetView tabSelected="1" topLeftCell="C1" workbookViewId="0">
      <selection activeCell="F6" sqref="F6"/>
    </sheetView>
  </sheetViews>
  <sheetFormatPr defaultRowHeight="15" x14ac:dyDescent="0.25"/>
  <cols>
    <col min="1" max="1" width="25.140625" customWidth="1"/>
    <col min="2" max="2" width="24.5703125" customWidth="1"/>
    <col min="3" max="3" width="15" customWidth="1"/>
    <col min="4" max="4" width="12.85546875" customWidth="1"/>
    <col min="5" max="5" width="27.85546875" customWidth="1"/>
    <col min="6" max="6" width="17.28515625" customWidth="1"/>
    <col min="7" max="7" width="15" customWidth="1"/>
    <col min="8" max="8" width="21.140625" customWidth="1"/>
    <col min="9" max="9" width="11.85546875" customWidth="1"/>
    <col min="10" max="10" width="15.85546875" customWidth="1"/>
    <col min="11" max="11" width="26.28515625" customWidth="1"/>
    <col min="12" max="14" width="0" hidden="1" customWidth="1"/>
    <col min="15" max="15" width="13" customWidth="1"/>
    <col min="16" max="16" width="18.7109375" customWidth="1"/>
    <col min="17" max="17" width="15.85546875" customWidth="1"/>
    <col min="18" max="18" width="17.28515625" customWidth="1"/>
    <col min="19" max="19" width="15.7109375" customWidth="1"/>
    <col min="20" max="20" width="18" customWidth="1"/>
    <col min="21" max="21" width="17.140625" customWidth="1"/>
    <col min="22" max="22" width="18.28515625" customWidth="1"/>
    <col min="23" max="23" width="23.42578125" customWidth="1"/>
    <col min="24" max="26" width="0" hidden="1" customWidth="1"/>
    <col min="27" max="27" width="2.140625" hidden="1" customWidth="1"/>
    <col min="28" max="28" width="12" customWidth="1"/>
    <col min="29" max="29" width="16.28515625" customWidth="1"/>
    <col min="30" max="30" width="12.42578125" customWidth="1"/>
    <col min="31" max="31" width="20.7109375" customWidth="1"/>
    <col min="32" max="32" width="25.5703125" customWidth="1"/>
    <col min="33" max="33" width="12.7109375" customWidth="1"/>
    <col min="34" max="34" width="22.7109375" customWidth="1"/>
    <col min="35" max="38" width="0" hidden="1" customWidth="1"/>
    <col min="40" max="40" width="12.85546875" customWidth="1"/>
    <col min="41" max="41" width="12.7109375" customWidth="1"/>
    <col min="42" max="42" width="20.7109375" customWidth="1"/>
    <col min="43" max="45" width="26.28515625" customWidth="1"/>
    <col min="46" max="46" width="17.7109375" customWidth="1"/>
    <col min="48" max="49" width="9.140625" hidden="1" customWidth="1"/>
    <col min="50" max="50" width="18" customWidth="1"/>
    <col min="51" max="51" width="12.7109375" customWidth="1"/>
    <col min="52" max="52" width="20.7109375" customWidth="1"/>
    <col min="53" max="53" width="26.28515625" customWidth="1"/>
    <col min="54" max="54" width="30.140625" customWidth="1"/>
    <col min="55" max="55" width="26.28515625" customWidth="1"/>
    <col min="56" max="56" width="15.5703125" customWidth="1"/>
    <col min="57" max="57" width="2.28515625" customWidth="1"/>
  </cols>
  <sheetData>
    <row r="1" spans="1:56" ht="23.25" customHeight="1" x14ac:dyDescent="0.25">
      <c r="A1" s="42" t="s">
        <v>0</v>
      </c>
      <c r="B1" s="44" t="s">
        <v>1</v>
      </c>
      <c r="C1" s="44"/>
      <c r="D1" s="45"/>
      <c r="E1" s="46" t="s">
        <v>41</v>
      </c>
      <c r="F1" s="46"/>
      <c r="G1" s="46"/>
      <c r="H1" s="46"/>
      <c r="I1" s="47">
        <f>SUM(K6:K837)</f>
        <v>0</v>
      </c>
      <c r="J1" s="47"/>
      <c r="K1" s="1"/>
      <c r="L1" s="46" t="s">
        <v>2</v>
      </c>
      <c r="M1" s="46"/>
      <c r="N1" s="44"/>
      <c r="O1" s="55"/>
      <c r="P1" s="55"/>
      <c r="Q1" s="14"/>
      <c r="R1" s="46" t="s">
        <v>42</v>
      </c>
      <c r="S1" s="46"/>
      <c r="T1" s="50"/>
      <c r="U1" s="47">
        <f>SUM(U6:U3000)</f>
        <v>0</v>
      </c>
      <c r="V1" s="51"/>
      <c r="W1" s="15"/>
      <c r="X1" s="46" t="s">
        <v>3</v>
      </c>
      <c r="Y1" s="44"/>
      <c r="Z1" s="52">
        <f>SUM(X6:X837)</f>
        <v>0</v>
      </c>
      <c r="AA1" s="52"/>
      <c r="AB1" s="14"/>
      <c r="AC1" s="44" t="s">
        <v>43</v>
      </c>
      <c r="AD1" s="44"/>
      <c r="AE1" s="44"/>
      <c r="AF1" s="53">
        <f>SUM(AF6:AF3000)</f>
        <v>0</v>
      </c>
      <c r="AG1" s="54"/>
      <c r="AH1" s="1"/>
      <c r="AI1" s="44"/>
      <c r="AJ1" s="44"/>
      <c r="AK1" s="16"/>
      <c r="AL1" s="1"/>
      <c r="AM1" s="1"/>
      <c r="AN1" s="1"/>
      <c r="AO1" s="1"/>
      <c r="AP1" s="1"/>
      <c r="AQ1" s="14" t="s">
        <v>44</v>
      </c>
      <c r="AR1" s="14"/>
      <c r="AS1" s="24">
        <f>SUM(AQ:AQ)</f>
        <v>0</v>
      </c>
      <c r="AT1" s="26"/>
      <c r="AU1" s="26"/>
      <c r="AX1" s="1"/>
      <c r="AY1" s="1"/>
      <c r="AZ1" s="1"/>
      <c r="BA1" s="14" t="s">
        <v>44</v>
      </c>
      <c r="BB1" s="14"/>
      <c r="BC1" s="16">
        <f>SUM(BA:BA)</f>
        <v>0</v>
      </c>
    </row>
    <row r="2" spans="1:56" ht="43.5" customHeight="1" x14ac:dyDescent="0.25">
      <c r="A2" s="43"/>
      <c r="B2" s="17" t="s">
        <v>6</v>
      </c>
      <c r="C2" s="48"/>
      <c r="D2" s="48"/>
      <c r="E2" s="49" t="s">
        <v>45</v>
      </c>
      <c r="F2" s="49"/>
      <c r="G2" s="49"/>
      <c r="H2" s="49"/>
      <c r="I2" s="49"/>
      <c r="J2" s="18">
        <f>SUM(BG6:BG3000)</f>
        <v>0</v>
      </c>
      <c r="K2" s="19" t="str">
        <f>IF(J2&gt;42000,"WEIGHT EXCEEDS LIMIT, PLEASE ASSIGN CUT ITEM","")</f>
        <v/>
      </c>
      <c r="L2" s="49" t="s">
        <v>46</v>
      </c>
      <c r="M2" s="49"/>
      <c r="N2" s="49"/>
      <c r="O2" s="18"/>
      <c r="P2" s="20"/>
      <c r="Q2" s="1"/>
      <c r="R2" s="49" t="s">
        <v>47</v>
      </c>
      <c r="S2" s="49"/>
      <c r="T2" s="49"/>
      <c r="U2" s="49"/>
      <c r="V2" s="18">
        <f>SUM(BH6:BH3000)</f>
        <v>0</v>
      </c>
      <c r="W2" s="19" t="str">
        <f>IF(V2&gt;42000,"WEIGHT EXCEEDS LIMIT, PLEASE ASSIGN CUT ITEM","")</f>
        <v/>
      </c>
      <c r="X2" s="49" t="s">
        <v>48</v>
      </c>
      <c r="Y2" s="49"/>
      <c r="Z2" s="17">
        <f>SUM(W6:W837)</f>
        <v>0</v>
      </c>
      <c r="AA2" s="20" t="str">
        <f>IF(Z2&lt;300,"MIN. QTY FOR LTL is 300, PLEASE ADJUST ORDER QTY","")</f>
        <v>MIN. QTY FOR LTL is 300, PLEASE ADJUST ORDER QTY</v>
      </c>
      <c r="AB2" s="1"/>
      <c r="AC2" s="49" t="s">
        <v>49</v>
      </c>
      <c r="AD2" s="49"/>
      <c r="AE2" s="49"/>
      <c r="AF2" s="49"/>
      <c r="AG2" s="18">
        <f>SUM(BI6:BI3000)</f>
        <v>0</v>
      </c>
      <c r="AH2" s="19" t="str">
        <f>IF(AG2&gt;42000,"WEIGHT EXCEEDS LIMIT, PLEASE ASSIGN CUT ITEM","")</f>
        <v/>
      </c>
      <c r="AI2" s="48"/>
      <c r="AJ2" s="48"/>
      <c r="AK2" s="17"/>
      <c r="AL2" s="20" t="str">
        <f>IF(AK2&lt;300,"MIN. QTY FOR LTL is 300, PLEASE ADJUST ORDER QTY","")</f>
        <v>MIN. QTY FOR LTL is 300, PLEASE ADJUST ORDER QTY</v>
      </c>
      <c r="AM2" s="1"/>
      <c r="AN2" s="1"/>
      <c r="AO2" s="1"/>
      <c r="AP2" s="1"/>
      <c r="AQ2" s="17" t="s">
        <v>50</v>
      </c>
      <c r="AR2" s="17"/>
      <c r="AS2" s="25">
        <f>SUM(BA6:BA837)</f>
        <v>0</v>
      </c>
      <c r="AT2" s="27" t="str">
        <f>IF(AS2&gt;42000,"WEIGHT EXCEEDS LIMIT, PLEASE ASSIGN CUT ITEM","")</f>
        <v/>
      </c>
      <c r="AU2" s="26"/>
      <c r="AX2" s="1"/>
      <c r="AY2" s="1"/>
      <c r="AZ2" s="1"/>
      <c r="BA2" s="17" t="s">
        <v>50</v>
      </c>
      <c r="BB2" s="17"/>
      <c r="BC2" s="1">
        <f>SUM(BK6:BK837)</f>
        <v>0</v>
      </c>
      <c r="BD2" s="21" t="str">
        <f>IF(BC2&gt;42000,"WEIGHT EXCEEDS LIMIT, PLEASE ASSIGN CUT ITEM","")</f>
        <v/>
      </c>
    </row>
    <row r="3" spans="1:56" ht="49.5" customHeight="1" x14ac:dyDescent="0.25">
      <c r="A3" s="43"/>
      <c r="B3" s="17" t="s">
        <v>11</v>
      </c>
      <c r="C3" s="48"/>
      <c r="D3" s="48"/>
      <c r="E3" s="49" t="s">
        <v>51</v>
      </c>
      <c r="F3" s="49"/>
      <c r="G3" s="49"/>
      <c r="H3" s="49"/>
      <c r="I3" s="49"/>
      <c r="J3" s="18">
        <f>SUM(J6:J837)</f>
        <v>0</v>
      </c>
      <c r="K3" s="19" t="str">
        <f>IF(J2&lt;42000,"WEIGHT UNDER LIMIT, PLEASE ASSIGN FILL ITEM","")</f>
        <v>WEIGHT UNDER LIMIT, PLEASE ASSIGN FILL ITEM</v>
      </c>
      <c r="L3" s="45"/>
      <c r="M3" s="45"/>
      <c r="N3" s="45"/>
      <c r="O3" s="1"/>
      <c r="P3" s="1"/>
      <c r="Q3" s="1"/>
      <c r="R3" s="49" t="s">
        <v>52</v>
      </c>
      <c r="S3" s="49"/>
      <c r="T3" s="49"/>
      <c r="U3" s="49"/>
      <c r="V3" s="18">
        <f>SUM(T6:T837)</f>
        <v>0</v>
      </c>
      <c r="W3" s="19" t="str">
        <f>IF(V2&lt;42000,"WEIGHT UNDER LIMIT, PLEASE ASSIGN FILL ITEM","")</f>
        <v>WEIGHT UNDER LIMIT, PLEASE ASSIGN FILL ITEM</v>
      </c>
      <c r="X3" s="18"/>
      <c r="Y3" s="18"/>
      <c r="Z3" s="18"/>
      <c r="AA3" s="1"/>
      <c r="AB3" s="1"/>
      <c r="AC3" s="49" t="s">
        <v>53</v>
      </c>
      <c r="AD3" s="49"/>
      <c r="AE3" s="49"/>
      <c r="AF3" s="49"/>
      <c r="AG3" s="18">
        <f>SUM(AE6:AE837)</f>
        <v>0</v>
      </c>
      <c r="AH3" s="19" t="str">
        <f>IF(AG2&lt;42000,"WEIGHT UNDER LIMIT, PLEASE ASSIGN FILL ITEM","")</f>
        <v>WEIGHT UNDER LIMIT, PLEASE ASSIGN FILL ITEM</v>
      </c>
      <c r="AI3" s="1"/>
      <c r="AJ3" s="1"/>
      <c r="AK3" s="1"/>
      <c r="AL3" s="1"/>
      <c r="AM3" s="1"/>
      <c r="AN3" s="1"/>
      <c r="AO3" s="1"/>
      <c r="AP3" s="1"/>
      <c r="AQ3" s="17" t="s">
        <v>54</v>
      </c>
      <c r="AR3" s="17"/>
      <c r="AS3" s="25">
        <f>SUM(AP6:AP837)</f>
        <v>0</v>
      </c>
      <c r="AT3" s="27" t="str">
        <f>IF(AS2&lt;42000,"WEIGHT UNDER LIMIT, PLEASE ASSIGN FILL ITEM","")</f>
        <v>WEIGHT UNDER LIMIT, PLEASE ASSIGN FILL ITEM</v>
      </c>
      <c r="AU3" s="26"/>
      <c r="AX3" s="1"/>
      <c r="AY3" s="1"/>
      <c r="AZ3" s="1"/>
      <c r="BA3" s="17" t="s">
        <v>54</v>
      </c>
      <c r="BB3" s="17"/>
      <c r="BC3" s="1">
        <f>SUM(AZ6:AZ837)</f>
        <v>0</v>
      </c>
      <c r="BD3" s="21" t="str">
        <f>IF(BC2&lt;42000,"WEIGHT UNDER LIMIT, PLEASE ASSIGN FILL ITEM","")</f>
        <v>WEIGHT UNDER LIMIT, PLEASE ASSIGN FILL ITEM</v>
      </c>
    </row>
    <row r="4" spans="1:56" ht="23.25" customHeight="1" x14ac:dyDescent="0.25">
      <c r="A4" s="1"/>
      <c r="B4" s="17" t="s">
        <v>12</v>
      </c>
      <c r="C4" s="48"/>
      <c r="D4" s="48"/>
      <c r="E4" s="49" t="s">
        <v>13</v>
      </c>
      <c r="F4" s="49"/>
      <c r="G4" s="49"/>
      <c r="H4" s="49"/>
      <c r="I4" s="49"/>
      <c r="J4" s="18"/>
      <c r="K4" s="1"/>
      <c r="L4" s="1"/>
      <c r="M4" s="1"/>
      <c r="N4" s="1"/>
      <c r="O4" s="1"/>
      <c r="P4" s="1"/>
      <c r="Q4" s="1"/>
      <c r="R4" s="45"/>
      <c r="S4" s="45"/>
      <c r="T4" s="45"/>
      <c r="U4" s="45"/>
      <c r="V4" s="1"/>
      <c r="W4" s="1"/>
      <c r="X4" s="1"/>
      <c r="Y4" s="1"/>
      <c r="Z4" s="1"/>
      <c r="AA4" s="1"/>
      <c r="AB4" s="1"/>
      <c r="AC4" s="49"/>
      <c r="AD4" s="49"/>
      <c r="AE4" s="49"/>
      <c r="AF4" s="49"/>
      <c r="AG4" s="18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25"/>
      <c r="AT4" s="26"/>
      <c r="AU4" s="26"/>
      <c r="AX4" s="1"/>
      <c r="AY4" s="1"/>
      <c r="AZ4" s="1"/>
      <c r="BA4" s="1"/>
      <c r="BB4" s="1"/>
      <c r="BC4" s="1"/>
    </row>
    <row r="5" spans="1:56" s="31" customFormat="1" ht="99" customHeight="1" x14ac:dyDescent="0.25">
      <c r="A5" s="22" t="s">
        <v>15</v>
      </c>
      <c r="B5" s="22" t="s">
        <v>16</v>
      </c>
      <c r="C5" s="22" t="s">
        <v>17</v>
      </c>
      <c r="D5" s="22" t="s">
        <v>18</v>
      </c>
      <c r="E5" s="22" t="s">
        <v>19</v>
      </c>
      <c r="F5" s="22" t="s">
        <v>20</v>
      </c>
      <c r="G5" s="22" t="s">
        <v>21</v>
      </c>
      <c r="H5" s="22" t="s">
        <v>22</v>
      </c>
      <c r="I5" s="22" t="s">
        <v>23</v>
      </c>
      <c r="J5" s="22" t="s">
        <v>24</v>
      </c>
      <c r="K5" s="22" t="s">
        <v>25</v>
      </c>
      <c r="L5" s="22" t="s">
        <v>26</v>
      </c>
      <c r="M5" s="22" t="s">
        <v>27</v>
      </c>
      <c r="N5" s="22" t="s">
        <v>28</v>
      </c>
      <c r="O5" s="22" t="s">
        <v>29</v>
      </c>
      <c r="P5" s="22" t="s">
        <v>30</v>
      </c>
      <c r="Q5" s="28"/>
      <c r="R5" s="22" t="s">
        <v>31</v>
      </c>
      <c r="S5" s="22" t="s">
        <v>23</v>
      </c>
      <c r="T5" s="22" t="s">
        <v>32</v>
      </c>
      <c r="U5" s="22" t="s">
        <v>25</v>
      </c>
      <c r="V5" s="22" t="s">
        <v>29</v>
      </c>
      <c r="W5" s="22" t="s">
        <v>30</v>
      </c>
      <c r="X5" s="22"/>
      <c r="Y5" s="22"/>
      <c r="Z5" s="22"/>
      <c r="AA5" s="28"/>
      <c r="AB5" s="28"/>
      <c r="AC5" s="22" t="s">
        <v>34</v>
      </c>
      <c r="AD5" s="22" t="s">
        <v>23</v>
      </c>
      <c r="AE5" s="22" t="s">
        <v>35</v>
      </c>
      <c r="AF5" s="22" t="s">
        <v>36</v>
      </c>
      <c r="AG5" s="22" t="s">
        <v>29</v>
      </c>
      <c r="AH5" s="22" t="s">
        <v>30</v>
      </c>
      <c r="AI5" s="22"/>
      <c r="AJ5" s="22"/>
      <c r="AK5" s="22"/>
      <c r="AL5" s="28"/>
      <c r="AM5" s="28"/>
      <c r="AN5" s="22" t="s">
        <v>39</v>
      </c>
      <c r="AO5" s="22" t="s">
        <v>23</v>
      </c>
      <c r="AP5" s="22" t="s">
        <v>55</v>
      </c>
      <c r="AQ5" s="22" t="s">
        <v>36</v>
      </c>
      <c r="AR5" s="22" t="s">
        <v>29</v>
      </c>
      <c r="AS5" s="29" t="s">
        <v>30</v>
      </c>
      <c r="AT5" s="30"/>
      <c r="AU5" s="30"/>
      <c r="AX5" s="22" t="s">
        <v>57</v>
      </c>
      <c r="AY5" s="22" t="s">
        <v>23</v>
      </c>
      <c r="AZ5" s="22" t="s">
        <v>56</v>
      </c>
      <c r="BA5" s="22" t="s">
        <v>36</v>
      </c>
      <c r="BB5" s="22" t="s">
        <v>29</v>
      </c>
      <c r="BC5" s="22" t="s">
        <v>30</v>
      </c>
    </row>
    <row r="6" spans="1:56" ht="18.75" customHeight="1" x14ac:dyDescent="0.25"/>
    <row r="7" spans="1:56" ht="18.75" customHeight="1" x14ac:dyDescent="0.25"/>
    <row r="8" spans="1:56" ht="18.75" customHeight="1" x14ac:dyDescent="0.25"/>
    <row r="9" spans="1:56" ht="18.75" customHeight="1" x14ac:dyDescent="0.25"/>
    <row r="10" spans="1:56" ht="18.75" customHeight="1" x14ac:dyDescent="0.25"/>
    <row r="11" spans="1:56" ht="18.75" customHeight="1" x14ac:dyDescent="0.25"/>
    <row r="12" spans="1:56" ht="18.75" customHeight="1" x14ac:dyDescent="0.25"/>
    <row r="13" spans="1:56" ht="18.75" customHeight="1" x14ac:dyDescent="0.25"/>
    <row r="14" spans="1:56" ht="18.75" customHeight="1" x14ac:dyDescent="0.25">
      <c r="AX14" t="s">
        <v>58</v>
      </c>
    </row>
    <row r="15" spans="1:56" ht="18.75" customHeight="1" x14ac:dyDescent="0.25"/>
    <row r="16" spans="1:56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8.75" customHeight="1" x14ac:dyDescent="0.25"/>
    <row r="45" ht="18.75" customHeight="1" x14ac:dyDescent="0.25"/>
    <row r="46" ht="18.75" customHeight="1" x14ac:dyDescent="0.25"/>
    <row r="47" ht="18.75" customHeight="1" x14ac:dyDescent="0.25"/>
    <row r="48" ht="18.75" customHeight="1" x14ac:dyDescent="0.25"/>
    <row r="49" ht="18.75" customHeight="1" x14ac:dyDescent="0.25"/>
    <row r="50" ht="18.75" customHeight="1" x14ac:dyDescent="0.25"/>
    <row r="51" ht="18.75" customHeight="1" x14ac:dyDescent="0.25"/>
    <row r="52" ht="18.75" customHeight="1" x14ac:dyDescent="0.25"/>
    <row r="53" ht="18.75" customHeight="1" x14ac:dyDescent="0.25"/>
    <row r="54" ht="18.75" customHeight="1" x14ac:dyDescent="0.25"/>
    <row r="55" ht="18.75" customHeight="1" x14ac:dyDescent="0.25"/>
    <row r="56" ht="18.75" customHeight="1" x14ac:dyDescent="0.25"/>
    <row r="57" ht="18.75" customHeight="1" x14ac:dyDescent="0.25"/>
    <row r="58" ht="18.75" customHeight="1" x14ac:dyDescent="0.25"/>
    <row r="59" ht="18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  <row r="66" ht="18.75" customHeight="1" x14ac:dyDescent="0.25"/>
    <row r="67" ht="18.75" customHeight="1" x14ac:dyDescent="0.25"/>
    <row r="68" ht="18.75" customHeight="1" x14ac:dyDescent="0.25"/>
    <row r="69" ht="18.75" customHeight="1" x14ac:dyDescent="0.25"/>
    <row r="70" ht="18.75" customHeight="1" x14ac:dyDescent="0.25"/>
    <row r="71" ht="18.75" customHeight="1" x14ac:dyDescent="0.25"/>
    <row r="72" ht="18.75" customHeight="1" x14ac:dyDescent="0.25"/>
    <row r="73" ht="18.75" customHeight="1" x14ac:dyDescent="0.25"/>
    <row r="74" ht="18.75" customHeight="1" x14ac:dyDescent="0.25"/>
    <row r="75" ht="18.75" customHeight="1" x14ac:dyDescent="0.25"/>
    <row r="76" ht="18.75" customHeight="1" x14ac:dyDescent="0.25"/>
    <row r="77" ht="18.75" customHeight="1" x14ac:dyDescent="0.25"/>
    <row r="78" ht="18.75" customHeight="1" x14ac:dyDescent="0.25"/>
    <row r="79" ht="18.75" customHeight="1" x14ac:dyDescent="0.25"/>
    <row r="80" ht="18.75" customHeight="1" x14ac:dyDescent="0.25"/>
    <row r="81" ht="18.75" customHeight="1" x14ac:dyDescent="0.25"/>
    <row r="82" ht="18.75" customHeight="1" x14ac:dyDescent="0.25"/>
    <row r="83" ht="18.75" customHeight="1" x14ac:dyDescent="0.25"/>
    <row r="84" ht="18.75" customHeight="1" x14ac:dyDescent="0.25"/>
    <row r="85" ht="18.75" customHeight="1" x14ac:dyDescent="0.25"/>
    <row r="86" ht="18.75" customHeight="1" x14ac:dyDescent="0.25"/>
    <row r="87" ht="18.75" customHeight="1" x14ac:dyDescent="0.25"/>
    <row r="88" ht="18.75" customHeight="1" x14ac:dyDescent="0.25"/>
    <row r="89" ht="18.75" customHeight="1" x14ac:dyDescent="0.25"/>
    <row r="90" ht="18.75" customHeight="1" x14ac:dyDescent="0.25"/>
    <row r="91" ht="18.75" customHeight="1" x14ac:dyDescent="0.25"/>
    <row r="92" ht="18.75" customHeight="1" x14ac:dyDescent="0.25"/>
    <row r="93" ht="18.75" customHeight="1" x14ac:dyDescent="0.25"/>
    <row r="94" ht="18.75" customHeight="1" x14ac:dyDescent="0.25"/>
    <row r="95" ht="18.75" customHeight="1" x14ac:dyDescent="0.25"/>
    <row r="96" ht="18.75" customHeight="1" x14ac:dyDescent="0.25"/>
    <row r="97" ht="18.75" customHeight="1" x14ac:dyDescent="0.25"/>
    <row r="98" ht="18.75" customHeight="1" x14ac:dyDescent="0.25"/>
    <row r="99" ht="18.75" customHeight="1" x14ac:dyDescent="0.25"/>
    <row r="100" ht="18.75" customHeight="1" x14ac:dyDescent="0.25"/>
    <row r="101" ht="18.75" customHeight="1" x14ac:dyDescent="0.25"/>
    <row r="102" ht="18.75" customHeight="1" x14ac:dyDescent="0.25"/>
    <row r="103" ht="18.75" customHeight="1" x14ac:dyDescent="0.25"/>
    <row r="104" ht="18.75" customHeight="1" x14ac:dyDescent="0.25"/>
    <row r="105" ht="18.75" customHeight="1" x14ac:dyDescent="0.25"/>
    <row r="106" ht="18.75" customHeight="1" x14ac:dyDescent="0.25"/>
    <row r="107" ht="18.75" customHeight="1" x14ac:dyDescent="0.25"/>
    <row r="108" ht="18.75" customHeight="1" x14ac:dyDescent="0.25"/>
    <row r="109" ht="18.75" customHeight="1" x14ac:dyDescent="0.25"/>
    <row r="110" ht="18.75" customHeight="1" x14ac:dyDescent="0.25"/>
    <row r="111" ht="18.75" customHeight="1" x14ac:dyDescent="0.25"/>
    <row r="112" ht="18.75" customHeight="1" x14ac:dyDescent="0.25"/>
    <row r="113" ht="18.75" customHeight="1" x14ac:dyDescent="0.25"/>
    <row r="114" ht="18.75" customHeight="1" x14ac:dyDescent="0.25"/>
    <row r="115" ht="18.75" customHeight="1" x14ac:dyDescent="0.25"/>
    <row r="116" ht="18.75" customHeight="1" x14ac:dyDescent="0.25"/>
    <row r="117" ht="18.75" customHeight="1" x14ac:dyDescent="0.25"/>
    <row r="118" ht="18.75" customHeight="1" x14ac:dyDescent="0.25"/>
    <row r="119" ht="18.75" customHeight="1" x14ac:dyDescent="0.25"/>
    <row r="120" ht="18.75" customHeight="1" x14ac:dyDescent="0.25"/>
    <row r="121" ht="18.75" customHeight="1" x14ac:dyDescent="0.25"/>
    <row r="122" ht="18.75" customHeight="1" x14ac:dyDescent="0.25"/>
    <row r="123" ht="18.75" customHeight="1" x14ac:dyDescent="0.25"/>
    <row r="124" ht="18.75" customHeight="1" x14ac:dyDescent="0.25"/>
    <row r="125" ht="18.75" customHeight="1" x14ac:dyDescent="0.25"/>
    <row r="126" ht="18.75" customHeight="1" x14ac:dyDescent="0.25"/>
    <row r="127" ht="18.75" customHeight="1" x14ac:dyDescent="0.25"/>
    <row r="128" ht="18.75" customHeight="1" x14ac:dyDescent="0.25"/>
    <row r="129" ht="18.75" customHeight="1" x14ac:dyDescent="0.25"/>
    <row r="130" ht="18.75" customHeight="1" x14ac:dyDescent="0.25"/>
    <row r="131" ht="18.75" customHeight="1" x14ac:dyDescent="0.25"/>
    <row r="132" ht="18.75" customHeight="1" x14ac:dyDescent="0.25"/>
    <row r="133" ht="18.75" customHeight="1" x14ac:dyDescent="0.25"/>
    <row r="134" ht="18.75" customHeight="1" x14ac:dyDescent="0.25"/>
    <row r="135" ht="18.75" customHeight="1" x14ac:dyDescent="0.25"/>
    <row r="136" ht="18.75" customHeight="1" x14ac:dyDescent="0.25"/>
    <row r="137" ht="18.75" customHeight="1" x14ac:dyDescent="0.25"/>
    <row r="138" ht="18.75" customHeight="1" x14ac:dyDescent="0.25"/>
    <row r="139" ht="18.75" customHeight="1" x14ac:dyDescent="0.25"/>
    <row r="140" ht="18.75" customHeight="1" x14ac:dyDescent="0.25"/>
    <row r="141" ht="18.75" customHeight="1" x14ac:dyDescent="0.25"/>
    <row r="142" ht="18.75" customHeight="1" x14ac:dyDescent="0.25"/>
    <row r="143" ht="18.75" customHeight="1" x14ac:dyDescent="0.25"/>
    <row r="144" ht="18.75" customHeight="1" x14ac:dyDescent="0.25"/>
    <row r="145" ht="18.75" customHeight="1" x14ac:dyDescent="0.25"/>
    <row r="146" ht="18.75" customHeight="1" x14ac:dyDescent="0.25"/>
    <row r="147" ht="18.75" customHeight="1" x14ac:dyDescent="0.25"/>
    <row r="148" ht="18.75" customHeight="1" x14ac:dyDescent="0.25"/>
    <row r="149" ht="18.75" customHeight="1" x14ac:dyDescent="0.25"/>
    <row r="150" ht="18.75" customHeight="1" x14ac:dyDescent="0.25"/>
    <row r="151" ht="18.75" customHeight="1" x14ac:dyDescent="0.25"/>
    <row r="152" ht="18.75" customHeight="1" x14ac:dyDescent="0.25"/>
    <row r="153" ht="18.75" customHeight="1" x14ac:dyDescent="0.25"/>
    <row r="154" ht="18.75" customHeight="1" x14ac:dyDescent="0.25"/>
    <row r="155" ht="18.75" customHeight="1" x14ac:dyDescent="0.25"/>
    <row r="156" ht="18.75" customHeight="1" x14ac:dyDescent="0.25"/>
    <row r="157" ht="18.75" customHeight="1" x14ac:dyDescent="0.25"/>
    <row r="158" ht="18.75" customHeight="1" x14ac:dyDescent="0.25"/>
    <row r="159" ht="18.75" customHeight="1" x14ac:dyDescent="0.25"/>
    <row r="160" ht="18.75" customHeight="1" x14ac:dyDescent="0.25"/>
    <row r="161" ht="18.75" customHeight="1" x14ac:dyDescent="0.25"/>
    <row r="162" ht="18.75" customHeight="1" x14ac:dyDescent="0.25"/>
    <row r="163" ht="18.75" customHeight="1" x14ac:dyDescent="0.25"/>
    <row r="164" ht="18.75" customHeight="1" x14ac:dyDescent="0.25"/>
    <row r="165" ht="18.75" customHeight="1" x14ac:dyDescent="0.25"/>
    <row r="166" ht="18.75" customHeight="1" x14ac:dyDescent="0.25"/>
    <row r="167" ht="18.75" customHeight="1" x14ac:dyDescent="0.25"/>
    <row r="168" ht="18.75" customHeight="1" x14ac:dyDescent="0.25"/>
    <row r="169" ht="18.75" customHeight="1" x14ac:dyDescent="0.25"/>
    <row r="170" ht="18.75" customHeight="1" x14ac:dyDescent="0.25"/>
    <row r="171" ht="18.75" customHeight="1" x14ac:dyDescent="0.25"/>
    <row r="172" ht="18.75" customHeight="1" x14ac:dyDescent="0.25"/>
    <row r="173" ht="18.75" customHeight="1" x14ac:dyDescent="0.25"/>
    <row r="174" ht="18.75" customHeight="1" x14ac:dyDescent="0.25"/>
    <row r="175" ht="18.75" customHeight="1" x14ac:dyDescent="0.25"/>
    <row r="176" ht="18.75" customHeight="1" x14ac:dyDescent="0.25"/>
    <row r="177" ht="18.75" customHeight="1" x14ac:dyDescent="0.25"/>
    <row r="178" ht="18.75" customHeight="1" x14ac:dyDescent="0.25"/>
    <row r="179" ht="18.75" customHeight="1" x14ac:dyDescent="0.25"/>
    <row r="180" ht="18.75" customHeight="1" x14ac:dyDescent="0.25"/>
    <row r="181" ht="18.75" customHeight="1" x14ac:dyDescent="0.25"/>
    <row r="182" ht="18.75" customHeight="1" x14ac:dyDescent="0.25"/>
    <row r="183" ht="18.75" customHeight="1" x14ac:dyDescent="0.25"/>
    <row r="184" ht="18.75" customHeight="1" x14ac:dyDescent="0.25"/>
    <row r="185" ht="18.75" customHeight="1" x14ac:dyDescent="0.25"/>
    <row r="186" ht="18.75" customHeight="1" x14ac:dyDescent="0.25"/>
    <row r="187" ht="18.75" customHeight="1" x14ac:dyDescent="0.25"/>
    <row r="188" ht="18.75" customHeight="1" x14ac:dyDescent="0.25"/>
    <row r="189" ht="18.75" customHeight="1" x14ac:dyDescent="0.25"/>
    <row r="190" ht="18.75" customHeight="1" x14ac:dyDescent="0.25"/>
    <row r="191" ht="18.75" customHeight="1" x14ac:dyDescent="0.25"/>
    <row r="192" ht="18.75" customHeight="1" x14ac:dyDescent="0.25"/>
    <row r="193" ht="18.75" customHeight="1" x14ac:dyDescent="0.25"/>
    <row r="194" ht="18.75" customHeight="1" x14ac:dyDescent="0.25"/>
    <row r="195" ht="18.75" customHeight="1" x14ac:dyDescent="0.25"/>
    <row r="196" ht="18.75" customHeight="1" x14ac:dyDescent="0.25"/>
    <row r="197" ht="18.75" customHeight="1" x14ac:dyDescent="0.25"/>
    <row r="198" ht="18.75" customHeight="1" x14ac:dyDescent="0.25"/>
    <row r="199" ht="18.75" customHeight="1" x14ac:dyDescent="0.25"/>
    <row r="200" ht="18.75" customHeight="1" x14ac:dyDescent="0.25"/>
    <row r="201" ht="18.75" customHeight="1" x14ac:dyDescent="0.25"/>
    <row r="202" ht="18.75" customHeight="1" x14ac:dyDescent="0.25"/>
    <row r="203" ht="18.75" customHeight="1" x14ac:dyDescent="0.25"/>
    <row r="204" ht="18.75" customHeight="1" x14ac:dyDescent="0.25"/>
    <row r="205" ht="18.75" customHeight="1" x14ac:dyDescent="0.25"/>
    <row r="206" ht="18.75" customHeight="1" x14ac:dyDescent="0.25"/>
    <row r="207" ht="18.75" customHeight="1" x14ac:dyDescent="0.25"/>
    <row r="208" ht="18.75" customHeight="1" x14ac:dyDescent="0.25"/>
    <row r="209" ht="18.75" customHeight="1" x14ac:dyDescent="0.25"/>
    <row r="210" ht="18.75" customHeight="1" x14ac:dyDescent="0.25"/>
    <row r="211" ht="18.75" customHeight="1" x14ac:dyDescent="0.25"/>
    <row r="212" ht="18.75" customHeight="1" x14ac:dyDescent="0.25"/>
    <row r="213" ht="18.75" customHeight="1" x14ac:dyDescent="0.25"/>
    <row r="214" ht="18.75" customHeight="1" x14ac:dyDescent="0.25"/>
    <row r="215" ht="18.75" customHeight="1" x14ac:dyDescent="0.25"/>
    <row r="216" ht="18.75" customHeight="1" x14ac:dyDescent="0.25"/>
    <row r="217" ht="18.75" customHeight="1" x14ac:dyDescent="0.25"/>
    <row r="218" ht="18.75" customHeight="1" x14ac:dyDescent="0.25"/>
    <row r="219" ht="18.75" customHeight="1" x14ac:dyDescent="0.25"/>
    <row r="220" ht="18.75" customHeight="1" x14ac:dyDescent="0.25"/>
    <row r="221" ht="18.75" customHeight="1" x14ac:dyDescent="0.25"/>
    <row r="222" ht="18.75" customHeight="1" x14ac:dyDescent="0.25"/>
    <row r="223" ht="18.75" customHeight="1" x14ac:dyDescent="0.25"/>
    <row r="224" ht="18.75" customHeight="1" x14ac:dyDescent="0.25"/>
    <row r="225" ht="18.75" customHeight="1" x14ac:dyDescent="0.25"/>
    <row r="226" ht="18.75" customHeight="1" x14ac:dyDescent="0.25"/>
    <row r="227" ht="18.75" customHeight="1" x14ac:dyDescent="0.25"/>
    <row r="228" ht="18.75" customHeight="1" x14ac:dyDescent="0.25"/>
    <row r="229" ht="18.75" customHeight="1" x14ac:dyDescent="0.25"/>
    <row r="230" ht="18.75" customHeight="1" x14ac:dyDescent="0.25"/>
    <row r="231" ht="18.75" customHeight="1" x14ac:dyDescent="0.25"/>
    <row r="232" ht="18.75" customHeight="1" x14ac:dyDescent="0.25"/>
    <row r="233" ht="18.75" customHeight="1" x14ac:dyDescent="0.25"/>
    <row r="234" ht="18.75" customHeight="1" x14ac:dyDescent="0.25"/>
    <row r="235" ht="18.75" customHeight="1" x14ac:dyDescent="0.25"/>
    <row r="236" ht="18.75" customHeight="1" x14ac:dyDescent="0.25"/>
    <row r="237" ht="18.75" customHeight="1" x14ac:dyDescent="0.25"/>
    <row r="238" ht="18.75" customHeight="1" x14ac:dyDescent="0.25"/>
    <row r="239" ht="18.75" customHeight="1" x14ac:dyDescent="0.25"/>
    <row r="240" ht="18.75" customHeight="1" x14ac:dyDescent="0.25"/>
    <row r="241" ht="18.75" customHeight="1" x14ac:dyDescent="0.25"/>
    <row r="242" ht="18.75" customHeight="1" x14ac:dyDescent="0.25"/>
    <row r="243" ht="18.75" customHeight="1" x14ac:dyDescent="0.25"/>
    <row r="244" ht="18.75" customHeight="1" x14ac:dyDescent="0.25"/>
    <row r="245" ht="18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8.75" customHeight="1" x14ac:dyDescent="0.25"/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8.75" customHeight="1" x14ac:dyDescent="0.25"/>
    <row r="280" ht="18.75" customHeight="1" x14ac:dyDescent="0.25"/>
    <row r="281" ht="18.75" customHeight="1" x14ac:dyDescent="0.25"/>
    <row r="282" ht="18.75" customHeight="1" x14ac:dyDescent="0.25"/>
    <row r="283" ht="18.75" customHeight="1" x14ac:dyDescent="0.25"/>
    <row r="284" ht="18.75" customHeight="1" x14ac:dyDescent="0.25"/>
    <row r="285" ht="18.75" customHeight="1" x14ac:dyDescent="0.25"/>
    <row r="286" ht="18.75" customHeight="1" x14ac:dyDescent="0.25"/>
    <row r="287" ht="18.75" customHeight="1" x14ac:dyDescent="0.25"/>
    <row r="288" ht="18.75" customHeight="1" x14ac:dyDescent="0.25"/>
    <row r="289" ht="18.75" customHeight="1" x14ac:dyDescent="0.25"/>
    <row r="290" ht="18.75" customHeight="1" x14ac:dyDescent="0.25"/>
    <row r="291" ht="18.75" customHeight="1" x14ac:dyDescent="0.25"/>
    <row r="292" ht="18.75" customHeight="1" x14ac:dyDescent="0.25"/>
    <row r="293" ht="18.75" customHeight="1" x14ac:dyDescent="0.25"/>
    <row r="294" ht="18.75" customHeight="1" x14ac:dyDescent="0.25"/>
    <row r="295" ht="18.75" customHeight="1" x14ac:dyDescent="0.25"/>
    <row r="296" ht="18.75" customHeight="1" x14ac:dyDescent="0.25"/>
    <row r="297" ht="18.75" customHeight="1" x14ac:dyDescent="0.25"/>
    <row r="298" ht="18.75" customHeight="1" x14ac:dyDescent="0.25"/>
    <row r="299" ht="18.75" customHeight="1" x14ac:dyDescent="0.25"/>
    <row r="300" ht="18.75" customHeight="1" x14ac:dyDescent="0.25"/>
    <row r="301" ht="18.75" customHeight="1" x14ac:dyDescent="0.25"/>
    <row r="302" ht="18.75" customHeight="1" x14ac:dyDescent="0.25"/>
    <row r="303" ht="18.75" customHeight="1" x14ac:dyDescent="0.25"/>
    <row r="304" ht="18.75" customHeight="1" x14ac:dyDescent="0.25"/>
    <row r="305" ht="18.75" customHeight="1" x14ac:dyDescent="0.25"/>
    <row r="306" ht="18.75" customHeight="1" x14ac:dyDescent="0.25"/>
    <row r="307" ht="18.75" customHeight="1" x14ac:dyDescent="0.25"/>
    <row r="308" ht="18.75" customHeight="1" x14ac:dyDescent="0.25"/>
    <row r="309" ht="18.75" customHeight="1" x14ac:dyDescent="0.25"/>
    <row r="310" ht="18.75" customHeight="1" x14ac:dyDescent="0.25"/>
    <row r="311" ht="18.75" customHeight="1" x14ac:dyDescent="0.25"/>
    <row r="312" ht="18.75" customHeight="1" x14ac:dyDescent="0.25"/>
    <row r="313" ht="18.75" customHeight="1" x14ac:dyDescent="0.25"/>
    <row r="314" ht="18.75" customHeight="1" x14ac:dyDescent="0.25"/>
    <row r="315" ht="18.75" customHeight="1" x14ac:dyDescent="0.25"/>
    <row r="316" ht="18.75" customHeight="1" x14ac:dyDescent="0.25"/>
    <row r="317" ht="18.75" customHeight="1" x14ac:dyDescent="0.25"/>
    <row r="318" ht="18.75" customHeight="1" x14ac:dyDescent="0.25"/>
    <row r="319" ht="18.75" customHeight="1" x14ac:dyDescent="0.25"/>
    <row r="320" ht="18.75" customHeight="1" x14ac:dyDescent="0.25"/>
    <row r="321" ht="18.75" customHeight="1" x14ac:dyDescent="0.25"/>
    <row r="322" ht="18.75" customHeight="1" x14ac:dyDescent="0.25"/>
    <row r="323" ht="18.75" customHeight="1" x14ac:dyDescent="0.25"/>
    <row r="324" ht="18.75" customHeight="1" x14ac:dyDescent="0.25"/>
    <row r="325" ht="18.75" customHeight="1" x14ac:dyDescent="0.25"/>
    <row r="326" ht="18.75" customHeight="1" x14ac:dyDescent="0.25"/>
    <row r="327" ht="18.75" customHeight="1" x14ac:dyDescent="0.25"/>
    <row r="328" ht="18.75" customHeight="1" x14ac:dyDescent="0.25"/>
    <row r="329" ht="18.75" customHeight="1" x14ac:dyDescent="0.25"/>
    <row r="330" ht="18.75" customHeight="1" x14ac:dyDescent="0.25"/>
    <row r="331" ht="18.75" customHeight="1" x14ac:dyDescent="0.25"/>
    <row r="332" ht="18.75" customHeight="1" x14ac:dyDescent="0.25"/>
    <row r="333" ht="18.75" customHeight="1" x14ac:dyDescent="0.25"/>
    <row r="334" ht="18.75" customHeight="1" x14ac:dyDescent="0.25"/>
    <row r="335" ht="18.75" customHeight="1" x14ac:dyDescent="0.25"/>
    <row r="336" ht="18.75" customHeight="1" x14ac:dyDescent="0.25"/>
    <row r="337" ht="18.75" customHeight="1" x14ac:dyDescent="0.25"/>
    <row r="338" ht="18.75" customHeight="1" x14ac:dyDescent="0.25"/>
    <row r="339" ht="18.75" customHeight="1" x14ac:dyDescent="0.25"/>
    <row r="340" ht="18.75" customHeight="1" x14ac:dyDescent="0.25"/>
    <row r="341" ht="18.75" customHeight="1" x14ac:dyDescent="0.25"/>
    <row r="342" ht="18.75" customHeight="1" x14ac:dyDescent="0.25"/>
    <row r="343" ht="18.75" customHeight="1" x14ac:dyDescent="0.25"/>
    <row r="344" ht="18.75" customHeight="1" x14ac:dyDescent="0.25"/>
    <row r="345" ht="18.75" customHeight="1" x14ac:dyDescent="0.25"/>
    <row r="346" ht="18.75" customHeight="1" x14ac:dyDescent="0.25"/>
    <row r="347" ht="18.75" customHeight="1" x14ac:dyDescent="0.25"/>
    <row r="348" ht="18.75" customHeight="1" x14ac:dyDescent="0.25"/>
    <row r="349" ht="18.75" customHeight="1" x14ac:dyDescent="0.25"/>
    <row r="350" ht="18.75" customHeight="1" x14ac:dyDescent="0.25"/>
    <row r="351" ht="18.75" customHeight="1" x14ac:dyDescent="0.25"/>
    <row r="352" ht="18.75" customHeight="1" x14ac:dyDescent="0.25"/>
    <row r="353" ht="18.75" customHeight="1" x14ac:dyDescent="0.25"/>
    <row r="354" ht="18.75" customHeight="1" x14ac:dyDescent="0.25"/>
    <row r="355" ht="18.75" customHeight="1" x14ac:dyDescent="0.25"/>
    <row r="356" ht="18.75" customHeight="1" x14ac:dyDescent="0.25"/>
    <row r="357" ht="18.75" customHeight="1" x14ac:dyDescent="0.25"/>
    <row r="358" ht="18.75" customHeight="1" x14ac:dyDescent="0.25"/>
    <row r="359" ht="18.75" customHeight="1" x14ac:dyDescent="0.25"/>
    <row r="360" ht="18.75" customHeight="1" x14ac:dyDescent="0.25"/>
    <row r="361" ht="18.75" customHeight="1" x14ac:dyDescent="0.25"/>
    <row r="362" ht="18.75" customHeight="1" x14ac:dyDescent="0.25"/>
    <row r="363" ht="18.75" customHeight="1" x14ac:dyDescent="0.25"/>
    <row r="364" ht="18.75" customHeight="1" x14ac:dyDescent="0.25"/>
    <row r="365" ht="18.75" customHeight="1" x14ac:dyDescent="0.25"/>
    <row r="366" ht="18.75" customHeight="1" x14ac:dyDescent="0.25"/>
    <row r="367" ht="18.75" customHeight="1" x14ac:dyDescent="0.25"/>
    <row r="368" ht="18.75" customHeight="1" x14ac:dyDescent="0.25"/>
    <row r="369" ht="18.75" customHeight="1" x14ac:dyDescent="0.25"/>
    <row r="370" ht="18.75" customHeight="1" x14ac:dyDescent="0.25"/>
    <row r="371" ht="18.75" customHeight="1" x14ac:dyDescent="0.25"/>
    <row r="372" ht="18.75" customHeight="1" x14ac:dyDescent="0.25"/>
    <row r="373" ht="18.75" customHeight="1" x14ac:dyDescent="0.25"/>
    <row r="374" ht="18.75" customHeight="1" x14ac:dyDescent="0.25"/>
    <row r="375" ht="18.75" customHeight="1" x14ac:dyDescent="0.25"/>
    <row r="376" ht="18.75" customHeight="1" x14ac:dyDescent="0.25"/>
    <row r="377" ht="18.75" customHeight="1" x14ac:dyDescent="0.25"/>
    <row r="378" ht="18.75" customHeight="1" x14ac:dyDescent="0.25"/>
    <row r="379" ht="18.75" customHeight="1" x14ac:dyDescent="0.25"/>
    <row r="380" ht="18.75" customHeight="1" x14ac:dyDescent="0.25"/>
    <row r="381" ht="18.75" customHeight="1" x14ac:dyDescent="0.25"/>
    <row r="382" ht="18.75" customHeight="1" x14ac:dyDescent="0.25"/>
    <row r="383" ht="18.75" customHeight="1" x14ac:dyDescent="0.25"/>
    <row r="384" ht="18.75" customHeight="1" x14ac:dyDescent="0.25"/>
    <row r="385" ht="18.75" customHeight="1" x14ac:dyDescent="0.25"/>
    <row r="386" ht="18.75" customHeight="1" x14ac:dyDescent="0.25"/>
    <row r="387" ht="18.75" customHeight="1" x14ac:dyDescent="0.25"/>
    <row r="388" ht="18.75" customHeight="1" x14ac:dyDescent="0.25"/>
    <row r="389" ht="18.75" customHeight="1" x14ac:dyDescent="0.25"/>
    <row r="390" ht="18.75" customHeight="1" x14ac:dyDescent="0.25"/>
    <row r="391" ht="18.75" customHeight="1" x14ac:dyDescent="0.25"/>
    <row r="392" ht="18.75" customHeight="1" x14ac:dyDescent="0.25"/>
    <row r="393" ht="18.75" customHeight="1" x14ac:dyDescent="0.25"/>
    <row r="394" ht="18.75" customHeight="1" x14ac:dyDescent="0.25"/>
    <row r="395" ht="18.75" customHeight="1" x14ac:dyDescent="0.25"/>
    <row r="396" ht="18.75" customHeight="1" x14ac:dyDescent="0.25"/>
    <row r="397" ht="18.75" customHeight="1" x14ac:dyDescent="0.25"/>
    <row r="398" ht="18.75" customHeight="1" x14ac:dyDescent="0.25"/>
    <row r="399" ht="18.75" customHeight="1" x14ac:dyDescent="0.25"/>
    <row r="400" ht="18.75" customHeight="1" x14ac:dyDescent="0.25"/>
    <row r="401" ht="18.75" customHeight="1" x14ac:dyDescent="0.25"/>
    <row r="402" ht="18.75" customHeight="1" x14ac:dyDescent="0.25"/>
    <row r="403" ht="18.75" customHeight="1" x14ac:dyDescent="0.25"/>
    <row r="404" ht="18.75" customHeight="1" x14ac:dyDescent="0.25"/>
    <row r="405" ht="18.75" customHeight="1" x14ac:dyDescent="0.25"/>
    <row r="406" ht="18.75" customHeight="1" x14ac:dyDescent="0.25"/>
    <row r="407" ht="18.75" customHeight="1" x14ac:dyDescent="0.25"/>
    <row r="408" ht="18.75" customHeight="1" x14ac:dyDescent="0.25"/>
    <row r="409" ht="18.75" customHeight="1" x14ac:dyDescent="0.25"/>
    <row r="410" ht="18.75" customHeight="1" x14ac:dyDescent="0.25"/>
    <row r="411" ht="18.75" customHeight="1" x14ac:dyDescent="0.25"/>
    <row r="412" ht="18.75" customHeight="1" x14ac:dyDescent="0.25"/>
    <row r="413" ht="18.75" customHeight="1" x14ac:dyDescent="0.25"/>
    <row r="414" ht="18.75" customHeight="1" x14ac:dyDescent="0.25"/>
    <row r="415" ht="18.75" customHeight="1" x14ac:dyDescent="0.25"/>
    <row r="416" ht="18.75" customHeight="1" x14ac:dyDescent="0.25"/>
    <row r="417" ht="18.75" customHeight="1" x14ac:dyDescent="0.25"/>
    <row r="418" ht="18.75" customHeight="1" x14ac:dyDescent="0.25"/>
    <row r="419" ht="18.75" customHeight="1" x14ac:dyDescent="0.25"/>
    <row r="420" ht="18.75" customHeight="1" x14ac:dyDescent="0.25"/>
    <row r="421" ht="18.75" customHeight="1" x14ac:dyDescent="0.25"/>
    <row r="422" ht="18.75" customHeight="1" x14ac:dyDescent="0.25"/>
    <row r="423" ht="18.75" customHeight="1" x14ac:dyDescent="0.25"/>
    <row r="424" ht="18.75" customHeight="1" x14ac:dyDescent="0.25"/>
    <row r="425" ht="18.75" customHeight="1" x14ac:dyDescent="0.25"/>
    <row r="426" ht="18.75" customHeight="1" x14ac:dyDescent="0.25"/>
    <row r="427" ht="18.75" customHeight="1" x14ac:dyDescent="0.25"/>
    <row r="428" ht="18.75" customHeight="1" x14ac:dyDescent="0.25"/>
    <row r="429" ht="18.75" customHeight="1" x14ac:dyDescent="0.25"/>
    <row r="430" ht="18.75" customHeight="1" x14ac:dyDescent="0.25"/>
    <row r="431" ht="18.75" customHeight="1" x14ac:dyDescent="0.25"/>
    <row r="432" ht="18.75" customHeight="1" x14ac:dyDescent="0.25"/>
    <row r="433" ht="18.75" customHeight="1" x14ac:dyDescent="0.25"/>
    <row r="434" ht="18.75" customHeight="1" x14ac:dyDescent="0.25"/>
    <row r="435" ht="18.75" customHeight="1" x14ac:dyDescent="0.25"/>
    <row r="436" ht="18.75" customHeight="1" x14ac:dyDescent="0.25"/>
    <row r="437" ht="18.75" customHeight="1" x14ac:dyDescent="0.25"/>
    <row r="438" ht="18.75" customHeight="1" x14ac:dyDescent="0.25"/>
    <row r="439" ht="18.75" customHeight="1" x14ac:dyDescent="0.25"/>
    <row r="440" ht="18.75" customHeight="1" x14ac:dyDescent="0.25"/>
    <row r="441" ht="18.75" customHeight="1" x14ac:dyDescent="0.25"/>
    <row r="442" ht="18.75" customHeight="1" x14ac:dyDescent="0.25"/>
    <row r="443" ht="18.75" customHeight="1" x14ac:dyDescent="0.25"/>
    <row r="444" ht="18.75" customHeight="1" x14ac:dyDescent="0.25"/>
    <row r="445" ht="18.75" customHeight="1" x14ac:dyDescent="0.25"/>
    <row r="446" ht="18.75" customHeight="1" x14ac:dyDescent="0.25"/>
    <row r="447" ht="18.75" customHeight="1" x14ac:dyDescent="0.25"/>
    <row r="448" ht="18.75" customHeight="1" x14ac:dyDescent="0.25"/>
    <row r="449" ht="18.75" customHeight="1" x14ac:dyDescent="0.25"/>
    <row r="450" ht="18.75" customHeight="1" x14ac:dyDescent="0.25"/>
    <row r="451" ht="18.75" customHeight="1" x14ac:dyDescent="0.25"/>
    <row r="452" ht="18.75" customHeight="1" x14ac:dyDescent="0.25"/>
    <row r="453" ht="18.75" customHeight="1" x14ac:dyDescent="0.25"/>
    <row r="454" ht="18.75" customHeight="1" x14ac:dyDescent="0.25"/>
    <row r="455" ht="18.75" customHeight="1" x14ac:dyDescent="0.25"/>
    <row r="456" ht="18.75" customHeight="1" x14ac:dyDescent="0.25"/>
    <row r="457" ht="18.75" customHeight="1" x14ac:dyDescent="0.25"/>
    <row r="458" ht="18.75" customHeight="1" x14ac:dyDescent="0.25"/>
    <row r="459" ht="18.75" customHeight="1" x14ac:dyDescent="0.25"/>
    <row r="460" ht="18.75" customHeight="1" x14ac:dyDescent="0.25"/>
    <row r="461" ht="18.75" customHeight="1" x14ac:dyDescent="0.25"/>
    <row r="462" ht="18.75" customHeight="1" x14ac:dyDescent="0.25"/>
    <row r="463" ht="18.75" customHeight="1" x14ac:dyDescent="0.25"/>
    <row r="464" ht="18.75" customHeight="1" x14ac:dyDescent="0.25"/>
    <row r="465" ht="18.75" customHeight="1" x14ac:dyDescent="0.25"/>
    <row r="466" ht="18.75" customHeight="1" x14ac:dyDescent="0.25"/>
    <row r="467" ht="18.75" customHeight="1" x14ac:dyDescent="0.25"/>
    <row r="468" ht="18.75" customHeight="1" x14ac:dyDescent="0.25"/>
    <row r="469" ht="18.75" customHeight="1" x14ac:dyDescent="0.25"/>
    <row r="470" ht="18.75" customHeight="1" x14ac:dyDescent="0.25"/>
    <row r="471" ht="18.75" customHeight="1" x14ac:dyDescent="0.25"/>
    <row r="472" ht="18.75" customHeight="1" x14ac:dyDescent="0.25"/>
    <row r="473" ht="18.75" customHeight="1" x14ac:dyDescent="0.25"/>
    <row r="474" ht="18.75" customHeight="1" x14ac:dyDescent="0.25"/>
    <row r="475" ht="18.75" customHeight="1" x14ac:dyDescent="0.25"/>
    <row r="476" ht="18.75" customHeight="1" x14ac:dyDescent="0.25"/>
    <row r="477" ht="18.75" customHeight="1" x14ac:dyDescent="0.25"/>
    <row r="478" ht="18.75" customHeight="1" x14ac:dyDescent="0.25"/>
    <row r="479" ht="18.75" customHeight="1" x14ac:dyDescent="0.25"/>
    <row r="480" ht="18.75" customHeight="1" x14ac:dyDescent="0.25"/>
    <row r="481" ht="18.75" customHeight="1" x14ac:dyDescent="0.25"/>
    <row r="482" ht="18.75" customHeight="1" x14ac:dyDescent="0.25"/>
    <row r="483" ht="18.75" customHeight="1" x14ac:dyDescent="0.25"/>
    <row r="484" ht="18.75" customHeight="1" x14ac:dyDescent="0.25"/>
    <row r="485" ht="18.75" customHeight="1" x14ac:dyDescent="0.25"/>
    <row r="486" ht="18.75" customHeight="1" x14ac:dyDescent="0.25"/>
    <row r="487" ht="18.75" customHeight="1" x14ac:dyDescent="0.25"/>
    <row r="488" ht="18.75" customHeight="1" x14ac:dyDescent="0.25"/>
    <row r="489" ht="18.75" customHeight="1" x14ac:dyDescent="0.25"/>
    <row r="490" ht="18.75" customHeight="1" x14ac:dyDescent="0.25"/>
    <row r="491" ht="18.75" customHeight="1" x14ac:dyDescent="0.25"/>
    <row r="492" ht="18.75" customHeight="1" x14ac:dyDescent="0.25"/>
    <row r="493" ht="18.75" customHeight="1" x14ac:dyDescent="0.25"/>
    <row r="494" ht="18.75" customHeight="1" x14ac:dyDescent="0.25"/>
    <row r="495" ht="18.75" customHeight="1" x14ac:dyDescent="0.25"/>
    <row r="496" ht="18.75" customHeight="1" x14ac:dyDescent="0.25"/>
    <row r="497" ht="18.75" customHeight="1" x14ac:dyDescent="0.25"/>
    <row r="498" ht="18.75" customHeight="1" x14ac:dyDescent="0.25"/>
    <row r="499" ht="18.75" customHeight="1" x14ac:dyDescent="0.25"/>
    <row r="500" ht="18.75" customHeight="1" x14ac:dyDescent="0.25"/>
    <row r="501" ht="18.75" customHeight="1" x14ac:dyDescent="0.25"/>
    <row r="502" ht="18.75" customHeight="1" x14ac:dyDescent="0.25"/>
    <row r="503" ht="18.75" customHeight="1" x14ac:dyDescent="0.25"/>
    <row r="504" ht="18.75" customHeight="1" x14ac:dyDescent="0.25"/>
    <row r="505" ht="18.75" customHeight="1" x14ac:dyDescent="0.25"/>
    <row r="506" ht="18.75" customHeight="1" x14ac:dyDescent="0.25"/>
    <row r="507" ht="18.75" customHeight="1" x14ac:dyDescent="0.25"/>
    <row r="508" ht="18.75" customHeight="1" x14ac:dyDescent="0.25"/>
    <row r="509" ht="18.75" customHeight="1" x14ac:dyDescent="0.25"/>
    <row r="510" ht="18.75" customHeight="1" x14ac:dyDescent="0.25"/>
    <row r="511" ht="18.75" customHeight="1" x14ac:dyDescent="0.25"/>
    <row r="512" ht="18.75" customHeight="1" x14ac:dyDescent="0.25"/>
    <row r="513" ht="18.75" customHeight="1" x14ac:dyDescent="0.25"/>
    <row r="514" ht="18.75" customHeight="1" x14ac:dyDescent="0.25"/>
    <row r="515" ht="18.75" customHeight="1" x14ac:dyDescent="0.25"/>
    <row r="516" ht="18.75" customHeight="1" x14ac:dyDescent="0.25"/>
    <row r="517" ht="18.75" customHeight="1" x14ac:dyDescent="0.25"/>
    <row r="518" ht="18.75" customHeight="1" x14ac:dyDescent="0.25"/>
    <row r="519" ht="18.75" customHeight="1" x14ac:dyDescent="0.25"/>
    <row r="520" ht="18.75" customHeight="1" x14ac:dyDescent="0.25"/>
    <row r="521" ht="18.75" customHeight="1" x14ac:dyDescent="0.25"/>
    <row r="522" ht="18.75" customHeight="1" x14ac:dyDescent="0.25"/>
    <row r="523" ht="18.75" customHeight="1" x14ac:dyDescent="0.25"/>
    <row r="524" ht="18.75" customHeight="1" x14ac:dyDescent="0.25"/>
    <row r="525" ht="18.75" customHeight="1" x14ac:dyDescent="0.25"/>
    <row r="526" ht="18.75" customHeight="1" x14ac:dyDescent="0.25"/>
    <row r="527" ht="18.75" customHeight="1" x14ac:dyDescent="0.25"/>
    <row r="528" ht="18.75" customHeight="1" x14ac:dyDescent="0.25"/>
    <row r="529" spans="1:55" ht="18.75" customHeight="1" x14ac:dyDescent="0.25"/>
    <row r="530" spans="1:55" ht="18.75" customHeight="1" x14ac:dyDescent="0.25"/>
    <row r="531" spans="1:55" ht="18.75" customHeight="1" x14ac:dyDescent="0.25"/>
    <row r="532" spans="1:55" ht="18.75" customHeight="1" x14ac:dyDescent="0.25"/>
    <row r="533" spans="1:55" ht="18.75" customHeight="1" x14ac:dyDescent="0.25"/>
    <row r="534" spans="1:55" ht="18.75" customHeight="1" x14ac:dyDescent="0.25"/>
    <row r="535" spans="1:55" ht="18.75" customHeight="1" x14ac:dyDescent="0.25"/>
    <row r="536" spans="1:55" ht="18.75" customHeight="1" x14ac:dyDescent="0.25"/>
    <row r="537" spans="1:55" ht="18.75" customHeight="1" x14ac:dyDescent="0.25"/>
    <row r="538" spans="1:55" ht="18.75" customHeight="1" x14ac:dyDescent="0.25"/>
    <row r="539" spans="1:55" ht="18.75" customHeight="1" x14ac:dyDescent="0.25"/>
    <row r="540" spans="1:55" ht="18.75" customHeight="1" x14ac:dyDescent="0.25"/>
    <row r="541" spans="1:55" ht="18.75" customHeight="1" x14ac:dyDescent="0.25"/>
    <row r="542" spans="1:55" x14ac:dyDescent="0.25">
      <c r="A542" s="1"/>
      <c r="B542" s="1"/>
      <c r="C542" s="1"/>
      <c r="D542" s="1"/>
      <c r="E542" s="1"/>
      <c r="F542" s="1"/>
      <c r="G542" s="1"/>
      <c r="H542" s="1"/>
      <c r="I542" s="23"/>
      <c r="J542" s="1"/>
      <c r="K542" s="23"/>
      <c r="L542" s="23"/>
      <c r="M542" s="1"/>
      <c r="N542" s="23"/>
      <c r="O542" s="23"/>
      <c r="P542" s="1"/>
      <c r="Q542" s="1"/>
      <c r="R542" s="1"/>
      <c r="S542" s="23"/>
      <c r="T542" s="1"/>
      <c r="U542" s="23"/>
      <c r="V542" s="23"/>
      <c r="W542" s="1"/>
      <c r="X542" s="23"/>
      <c r="Y542" s="23"/>
      <c r="Z542" s="1"/>
      <c r="AA542" s="1"/>
      <c r="AB542" s="1"/>
      <c r="AC542" s="1"/>
      <c r="AD542" s="23"/>
      <c r="AE542" s="1"/>
      <c r="AF542" s="23"/>
      <c r="AG542" s="23"/>
      <c r="AH542" s="1"/>
      <c r="AI542" s="23"/>
      <c r="AJ542" s="23"/>
      <c r="AK542" s="1"/>
      <c r="AL542" s="1"/>
      <c r="AM542" s="1"/>
      <c r="AN542" s="1"/>
      <c r="AO542" s="23"/>
      <c r="AP542" s="1"/>
      <c r="AQ542" s="23"/>
      <c r="AR542" s="23"/>
      <c r="AS542" s="1"/>
      <c r="AX542" s="1"/>
      <c r="AY542" s="23"/>
      <c r="AZ542" s="1"/>
      <c r="BA542" s="23"/>
      <c r="BB542" s="23"/>
      <c r="BC542" s="1"/>
    </row>
    <row r="543" spans="1:55" x14ac:dyDescent="0.25">
      <c r="A543" s="1"/>
      <c r="B543" s="1"/>
      <c r="C543" s="1"/>
      <c r="D543" s="1"/>
      <c r="E543" s="1"/>
      <c r="F543" s="1"/>
      <c r="G543" s="1"/>
      <c r="H543" s="1"/>
      <c r="I543" s="23"/>
      <c r="J543" s="1"/>
      <c r="K543" s="23"/>
      <c r="L543" s="23"/>
      <c r="M543" s="1"/>
      <c r="N543" s="23"/>
      <c r="O543" s="23"/>
      <c r="P543" s="1"/>
      <c r="Q543" s="1"/>
      <c r="R543" s="1"/>
      <c r="S543" s="23"/>
      <c r="T543" s="1"/>
      <c r="U543" s="23"/>
      <c r="V543" s="23"/>
      <c r="W543" s="1"/>
      <c r="X543" s="23"/>
      <c r="Y543" s="23"/>
      <c r="Z543" s="1"/>
      <c r="AA543" s="1"/>
      <c r="AB543" s="1"/>
      <c r="AC543" s="1"/>
      <c r="AD543" s="23"/>
      <c r="AE543" s="1"/>
      <c r="AF543" s="23"/>
      <c r="AG543" s="23"/>
      <c r="AH543" s="1"/>
      <c r="AI543" s="23"/>
      <c r="AJ543" s="23"/>
      <c r="AK543" s="1"/>
      <c r="AL543" s="1"/>
      <c r="AM543" s="1"/>
      <c r="AN543" s="1"/>
      <c r="AO543" s="23"/>
      <c r="AP543" s="1"/>
      <c r="AQ543" s="23"/>
      <c r="AR543" s="23"/>
      <c r="AS543" s="1"/>
      <c r="AX543" s="1"/>
      <c r="AY543" s="23"/>
      <c r="AZ543" s="1"/>
      <c r="BA543" s="23"/>
      <c r="BB543" s="23"/>
      <c r="BC543" s="1"/>
    </row>
    <row r="544" spans="1:55" x14ac:dyDescent="0.25">
      <c r="A544" s="1"/>
      <c r="B544" s="1"/>
      <c r="C544" s="1"/>
      <c r="D544" s="1"/>
      <c r="E544" s="1"/>
      <c r="F544" s="1"/>
      <c r="G544" s="1"/>
      <c r="H544" s="1"/>
      <c r="I544" s="23"/>
      <c r="J544" s="1"/>
      <c r="K544" s="23"/>
      <c r="L544" s="23"/>
      <c r="M544" s="1"/>
      <c r="N544" s="23"/>
      <c r="O544" s="23"/>
      <c r="P544" s="1"/>
      <c r="Q544" s="1"/>
      <c r="R544" s="1"/>
      <c r="S544" s="23"/>
      <c r="T544" s="1"/>
      <c r="U544" s="23"/>
      <c r="V544" s="23"/>
      <c r="W544" s="1"/>
      <c r="X544" s="23"/>
      <c r="Y544" s="23"/>
      <c r="Z544" s="1"/>
      <c r="AA544" s="1"/>
      <c r="AB544" s="1"/>
      <c r="AC544" s="1"/>
      <c r="AD544" s="23"/>
      <c r="AE544" s="1"/>
      <c r="AF544" s="23"/>
      <c r="AG544" s="23"/>
      <c r="AH544" s="1"/>
      <c r="AI544" s="23"/>
      <c r="AJ544" s="23"/>
      <c r="AK544" s="1"/>
      <c r="AL544" s="1"/>
      <c r="AM544" s="1"/>
      <c r="AN544" s="1"/>
      <c r="AO544" s="23"/>
      <c r="AP544" s="1"/>
      <c r="AQ544" s="23"/>
      <c r="AR544" s="23"/>
      <c r="AS544" s="1"/>
      <c r="AX544" s="1"/>
      <c r="AY544" s="23"/>
      <c r="AZ544" s="1"/>
      <c r="BA544" s="23"/>
      <c r="BB544" s="23"/>
      <c r="BC544" s="1"/>
    </row>
    <row r="545" spans="1:55" x14ac:dyDescent="0.25">
      <c r="A545" s="1"/>
      <c r="B545" s="1"/>
      <c r="C545" s="1"/>
      <c r="D545" s="1"/>
      <c r="E545" s="1"/>
      <c r="F545" s="1"/>
      <c r="G545" s="1"/>
      <c r="H545" s="1"/>
      <c r="I545" s="23"/>
      <c r="J545" s="1"/>
      <c r="K545" s="23"/>
      <c r="L545" s="23"/>
      <c r="M545" s="1"/>
      <c r="N545" s="23"/>
      <c r="O545" s="23"/>
      <c r="P545" s="1"/>
      <c r="Q545" s="1"/>
      <c r="R545" s="1"/>
      <c r="S545" s="23"/>
      <c r="T545" s="1"/>
      <c r="U545" s="23"/>
      <c r="V545" s="23"/>
      <c r="W545" s="1"/>
      <c r="X545" s="23"/>
      <c r="Y545" s="23"/>
      <c r="Z545" s="1"/>
      <c r="AA545" s="1"/>
      <c r="AB545" s="1"/>
      <c r="AC545" s="1"/>
      <c r="AD545" s="23"/>
      <c r="AE545" s="1"/>
      <c r="AF545" s="23"/>
      <c r="AG545" s="23"/>
      <c r="AH545" s="1"/>
      <c r="AI545" s="23"/>
      <c r="AJ545" s="23"/>
      <c r="AK545" s="1"/>
      <c r="AL545" s="1"/>
      <c r="AM545" s="1"/>
      <c r="AN545" s="1"/>
      <c r="AO545" s="23"/>
      <c r="AP545" s="1"/>
      <c r="AQ545" s="23"/>
      <c r="AR545" s="23"/>
      <c r="AS545" s="1"/>
      <c r="AX545" s="1"/>
      <c r="AY545" s="23"/>
      <c r="AZ545" s="1"/>
      <c r="BA545" s="23"/>
      <c r="BB545" s="23"/>
      <c r="BC545" s="1"/>
    </row>
    <row r="546" spans="1:55" x14ac:dyDescent="0.25">
      <c r="A546" s="1"/>
      <c r="B546" s="1"/>
      <c r="C546" s="1"/>
      <c r="D546" s="1"/>
      <c r="E546" s="1"/>
      <c r="F546" s="1"/>
      <c r="G546" s="1"/>
      <c r="H546" s="1"/>
      <c r="I546" s="23"/>
      <c r="J546" s="1"/>
      <c r="K546" s="23"/>
      <c r="L546" s="23"/>
      <c r="M546" s="1"/>
      <c r="N546" s="23"/>
      <c r="O546" s="23"/>
      <c r="P546" s="1"/>
      <c r="Q546" s="1"/>
      <c r="R546" s="1"/>
      <c r="S546" s="23"/>
      <c r="T546" s="1"/>
      <c r="U546" s="23"/>
      <c r="V546" s="23"/>
      <c r="W546" s="1"/>
      <c r="X546" s="23"/>
      <c r="Y546" s="23"/>
      <c r="Z546" s="1"/>
      <c r="AA546" s="1"/>
      <c r="AB546" s="1"/>
      <c r="AC546" s="1"/>
      <c r="AD546" s="23"/>
      <c r="AE546" s="1"/>
      <c r="AF546" s="23"/>
      <c r="AG546" s="23"/>
      <c r="AH546" s="1"/>
      <c r="AI546" s="23"/>
      <c r="AJ546" s="23"/>
      <c r="AK546" s="1"/>
      <c r="AL546" s="1"/>
      <c r="AM546" s="1"/>
      <c r="AN546" s="1"/>
      <c r="AO546" s="23"/>
      <c r="AP546" s="1"/>
      <c r="AQ546" s="23"/>
      <c r="AR546" s="23"/>
      <c r="AS546" s="1"/>
      <c r="AX546" s="1"/>
      <c r="AY546" s="23"/>
      <c r="AZ546" s="1"/>
      <c r="BA546" s="23"/>
      <c r="BB546" s="23"/>
      <c r="BC546" s="1"/>
    </row>
    <row r="547" spans="1:55" x14ac:dyDescent="0.25">
      <c r="A547" s="1"/>
      <c r="B547" s="1"/>
      <c r="C547" s="1"/>
      <c r="D547" s="1"/>
      <c r="E547" s="1"/>
      <c r="F547" s="1"/>
      <c r="G547" s="1"/>
      <c r="H547" s="1"/>
      <c r="I547" s="23"/>
      <c r="J547" s="1"/>
      <c r="K547" s="23"/>
      <c r="L547" s="23"/>
      <c r="M547" s="1"/>
      <c r="N547" s="23"/>
      <c r="O547" s="23"/>
      <c r="P547" s="1"/>
      <c r="Q547" s="1"/>
      <c r="R547" s="1"/>
      <c r="S547" s="23"/>
      <c r="T547" s="1"/>
      <c r="U547" s="23"/>
      <c r="V547" s="23"/>
      <c r="W547" s="1"/>
      <c r="X547" s="23"/>
      <c r="Y547" s="23"/>
      <c r="Z547" s="1"/>
      <c r="AA547" s="1"/>
      <c r="AB547" s="1"/>
      <c r="AC547" s="1"/>
      <c r="AD547" s="23"/>
      <c r="AE547" s="1"/>
      <c r="AF547" s="23"/>
      <c r="AG547" s="23"/>
      <c r="AH547" s="1"/>
      <c r="AI547" s="23"/>
      <c r="AJ547" s="23"/>
      <c r="AK547" s="1"/>
      <c r="AL547" s="1"/>
      <c r="AM547" s="1"/>
      <c r="AN547" s="1"/>
      <c r="AO547" s="23"/>
      <c r="AP547" s="1"/>
      <c r="AQ547" s="23"/>
      <c r="AR547" s="23"/>
      <c r="AS547" s="1"/>
      <c r="AX547" s="1"/>
      <c r="AY547" s="23"/>
      <c r="AZ547" s="1"/>
      <c r="BA547" s="23"/>
      <c r="BB547" s="23"/>
      <c r="BC547" s="1"/>
    </row>
    <row r="548" spans="1:55" x14ac:dyDescent="0.25">
      <c r="A548" s="1"/>
      <c r="B548" s="1"/>
      <c r="C548" s="1"/>
      <c r="D548" s="1"/>
      <c r="E548" s="1"/>
      <c r="F548" s="1"/>
      <c r="G548" s="1"/>
      <c r="H548" s="1"/>
      <c r="I548" s="23"/>
      <c r="J548" s="1"/>
      <c r="K548" s="23"/>
      <c r="L548" s="23"/>
      <c r="M548" s="1"/>
      <c r="N548" s="23"/>
      <c r="O548" s="23"/>
      <c r="P548" s="1"/>
      <c r="Q548" s="1"/>
      <c r="R548" s="1"/>
      <c r="S548" s="23"/>
      <c r="T548" s="1"/>
      <c r="U548" s="23"/>
      <c r="V548" s="23"/>
      <c r="W548" s="1"/>
      <c r="X548" s="23"/>
      <c r="Y548" s="23"/>
      <c r="Z548" s="1"/>
      <c r="AA548" s="1"/>
      <c r="AB548" s="1"/>
      <c r="AC548" s="1"/>
      <c r="AD548" s="23"/>
      <c r="AE548" s="1"/>
      <c r="AF548" s="23"/>
      <c r="AG548" s="23"/>
      <c r="AH548" s="1"/>
      <c r="AI548" s="23"/>
      <c r="AJ548" s="23"/>
      <c r="AK548" s="1"/>
      <c r="AL548" s="1"/>
      <c r="AM548" s="1"/>
      <c r="AN548" s="1"/>
      <c r="AO548" s="23"/>
      <c r="AP548" s="1"/>
      <c r="AQ548" s="23"/>
      <c r="AR548" s="23"/>
      <c r="AS548" s="1"/>
      <c r="AX548" s="1"/>
      <c r="AY548" s="23"/>
      <c r="AZ548" s="1"/>
      <c r="BA548" s="23"/>
      <c r="BB548" s="23"/>
      <c r="BC548" s="1"/>
    </row>
    <row r="549" spans="1:55" x14ac:dyDescent="0.25">
      <c r="A549" s="1"/>
      <c r="B549" s="1"/>
      <c r="C549" s="1"/>
      <c r="D549" s="1"/>
      <c r="E549" s="1"/>
      <c r="F549" s="1"/>
      <c r="G549" s="1"/>
      <c r="H549" s="1"/>
      <c r="I549" s="23"/>
      <c r="J549" s="1"/>
      <c r="K549" s="23"/>
      <c r="L549" s="23"/>
      <c r="M549" s="1"/>
      <c r="N549" s="23"/>
      <c r="O549" s="23"/>
      <c r="P549" s="1"/>
      <c r="Q549" s="1"/>
      <c r="R549" s="1"/>
      <c r="S549" s="23"/>
      <c r="T549" s="1"/>
      <c r="U549" s="23"/>
      <c r="V549" s="23"/>
      <c r="W549" s="1"/>
      <c r="X549" s="23"/>
      <c r="Y549" s="23"/>
      <c r="Z549" s="1"/>
      <c r="AA549" s="1"/>
      <c r="AB549" s="1"/>
      <c r="AC549" s="1"/>
      <c r="AD549" s="23"/>
      <c r="AE549" s="1"/>
      <c r="AF549" s="23"/>
      <c r="AG549" s="23"/>
      <c r="AH549" s="1"/>
      <c r="AI549" s="23"/>
      <c r="AJ549" s="23"/>
      <c r="AK549" s="1"/>
      <c r="AL549" s="1"/>
      <c r="AM549" s="1"/>
      <c r="AN549" s="1"/>
      <c r="AO549" s="23"/>
      <c r="AP549" s="1"/>
      <c r="AQ549" s="23"/>
      <c r="AR549" s="23"/>
      <c r="AS549" s="1"/>
      <c r="AX549" s="1"/>
      <c r="AY549" s="23"/>
      <c r="AZ549" s="1"/>
      <c r="BA549" s="23"/>
      <c r="BB549" s="23"/>
      <c r="BC549" s="1"/>
    </row>
    <row r="550" spans="1:55" x14ac:dyDescent="0.25">
      <c r="A550" s="1"/>
      <c r="B550" s="1"/>
      <c r="C550" s="1"/>
      <c r="D550" s="1"/>
      <c r="E550" s="1"/>
      <c r="F550" s="1"/>
      <c r="G550" s="1"/>
      <c r="H550" s="1"/>
      <c r="I550" s="23"/>
      <c r="J550" s="1"/>
      <c r="K550" s="23"/>
      <c r="L550" s="23"/>
      <c r="M550" s="1"/>
      <c r="N550" s="23"/>
      <c r="O550" s="23"/>
      <c r="P550" s="1"/>
      <c r="Q550" s="1"/>
      <c r="R550" s="1"/>
      <c r="S550" s="23"/>
      <c r="T550" s="1"/>
      <c r="U550" s="23"/>
      <c r="V550" s="23"/>
      <c r="W550" s="1"/>
      <c r="X550" s="23"/>
      <c r="Y550" s="23"/>
      <c r="Z550" s="1"/>
      <c r="AA550" s="1"/>
      <c r="AB550" s="1"/>
      <c r="AC550" s="1"/>
      <c r="AD550" s="23"/>
      <c r="AE550" s="1"/>
      <c r="AF550" s="23"/>
      <c r="AG550" s="23"/>
      <c r="AH550" s="1"/>
      <c r="AI550" s="23"/>
      <c r="AJ550" s="23"/>
      <c r="AK550" s="1"/>
      <c r="AL550" s="1"/>
      <c r="AM550" s="1"/>
      <c r="AN550" s="1"/>
      <c r="AO550" s="23"/>
      <c r="AP550" s="1"/>
      <c r="AQ550" s="23"/>
      <c r="AR550" s="23"/>
      <c r="AS550" s="1"/>
      <c r="AX550" s="1"/>
      <c r="AY550" s="23"/>
      <c r="AZ550" s="1"/>
      <c r="BA550" s="23"/>
      <c r="BB550" s="23"/>
      <c r="BC550" s="1"/>
    </row>
    <row r="551" spans="1:55" x14ac:dyDescent="0.25">
      <c r="A551" s="1"/>
      <c r="B551" s="1"/>
      <c r="C551" s="1"/>
      <c r="D551" s="1"/>
      <c r="E551" s="1"/>
      <c r="F551" s="1"/>
      <c r="G551" s="1"/>
      <c r="H551" s="1"/>
      <c r="I551" s="23"/>
      <c r="J551" s="1"/>
      <c r="K551" s="23"/>
      <c r="L551" s="23"/>
      <c r="M551" s="1"/>
      <c r="N551" s="23"/>
      <c r="O551" s="23"/>
      <c r="P551" s="1"/>
      <c r="Q551" s="1"/>
      <c r="R551" s="1"/>
      <c r="S551" s="23"/>
      <c r="T551" s="1"/>
      <c r="U551" s="23"/>
      <c r="V551" s="23"/>
      <c r="W551" s="1"/>
      <c r="X551" s="23"/>
      <c r="Y551" s="23"/>
      <c r="Z551" s="1"/>
      <c r="AA551" s="1"/>
      <c r="AB551" s="1"/>
      <c r="AC551" s="1"/>
      <c r="AD551" s="23"/>
      <c r="AE551" s="1"/>
      <c r="AF551" s="23"/>
      <c r="AG551" s="23"/>
      <c r="AH551" s="1"/>
      <c r="AI551" s="23"/>
      <c r="AJ551" s="23"/>
      <c r="AK551" s="1"/>
      <c r="AL551" s="1"/>
      <c r="AM551" s="1"/>
      <c r="AN551" s="1"/>
      <c r="AO551" s="23"/>
      <c r="AP551" s="1"/>
      <c r="AQ551" s="23"/>
      <c r="AR551" s="23"/>
      <c r="AS551" s="1"/>
      <c r="AX551" s="1"/>
      <c r="AY551" s="23"/>
      <c r="AZ551" s="1"/>
      <c r="BA551" s="23"/>
      <c r="BB551" s="23"/>
      <c r="BC551" s="1"/>
    </row>
    <row r="552" spans="1:55" x14ac:dyDescent="0.25">
      <c r="A552" s="1"/>
      <c r="B552" s="1"/>
      <c r="C552" s="1"/>
      <c r="D552" s="1"/>
      <c r="E552" s="1"/>
      <c r="F552" s="1"/>
      <c r="G552" s="1"/>
      <c r="H552" s="1"/>
      <c r="I552" s="23"/>
      <c r="J552" s="1"/>
      <c r="K552" s="23"/>
      <c r="L552" s="23"/>
      <c r="M552" s="1"/>
      <c r="N552" s="23"/>
      <c r="O552" s="23"/>
      <c r="P552" s="1"/>
      <c r="Q552" s="1"/>
      <c r="R552" s="1"/>
      <c r="S552" s="23"/>
      <c r="T552" s="1"/>
      <c r="U552" s="23"/>
      <c r="V552" s="23"/>
      <c r="W552" s="1"/>
      <c r="X552" s="23"/>
      <c r="Y552" s="23"/>
      <c r="Z552" s="1"/>
      <c r="AA552" s="1"/>
      <c r="AB552" s="1"/>
      <c r="AC552" s="1"/>
      <c r="AD552" s="23"/>
      <c r="AE552" s="1"/>
      <c r="AF552" s="23"/>
      <c r="AG552" s="23"/>
      <c r="AH552" s="1"/>
      <c r="AI552" s="23"/>
      <c r="AJ552" s="23"/>
      <c r="AK552" s="1"/>
      <c r="AL552" s="1"/>
      <c r="AM552" s="1"/>
      <c r="AN552" s="1"/>
      <c r="AO552" s="23"/>
      <c r="AP552" s="1"/>
      <c r="AQ552" s="23"/>
      <c r="AR552" s="23"/>
      <c r="AS552" s="1"/>
      <c r="AX552" s="1"/>
      <c r="AY552" s="23"/>
      <c r="AZ552" s="1"/>
      <c r="BA552" s="23"/>
      <c r="BB552" s="23"/>
      <c r="BC552" s="1"/>
    </row>
    <row r="553" spans="1:55" x14ac:dyDescent="0.25">
      <c r="A553" s="1"/>
      <c r="B553" s="1"/>
      <c r="C553" s="1"/>
      <c r="D553" s="1"/>
      <c r="E553" s="1"/>
      <c r="F553" s="1"/>
      <c r="G553" s="1"/>
      <c r="H553" s="1"/>
      <c r="I553" s="23"/>
      <c r="J553" s="1"/>
      <c r="K553" s="23"/>
      <c r="L553" s="23"/>
      <c r="M553" s="1"/>
      <c r="N553" s="23"/>
      <c r="O553" s="23"/>
      <c r="P553" s="1"/>
      <c r="Q553" s="1"/>
      <c r="R553" s="1"/>
      <c r="S553" s="23"/>
      <c r="T553" s="1"/>
      <c r="U553" s="23"/>
      <c r="V553" s="23"/>
      <c r="W553" s="1"/>
      <c r="X553" s="23"/>
      <c r="Y553" s="23"/>
      <c r="Z553" s="1"/>
      <c r="AA553" s="1"/>
      <c r="AB553" s="1"/>
      <c r="AC553" s="1"/>
      <c r="AD553" s="23"/>
      <c r="AE553" s="1"/>
      <c r="AF553" s="23"/>
      <c r="AG553" s="23"/>
      <c r="AH553" s="1"/>
      <c r="AI553" s="23"/>
      <c r="AJ553" s="23"/>
      <c r="AK553" s="1"/>
      <c r="AL553" s="1"/>
      <c r="AM553" s="1"/>
      <c r="AN553" s="1"/>
      <c r="AO553" s="23"/>
      <c r="AP553" s="1"/>
      <c r="AQ553" s="23"/>
      <c r="AR553" s="23"/>
      <c r="AS553" s="1"/>
      <c r="AX553" s="1"/>
      <c r="AY553" s="23"/>
      <c r="AZ553" s="1"/>
      <c r="BA553" s="23"/>
      <c r="BB553" s="23"/>
      <c r="BC553" s="1"/>
    </row>
    <row r="554" spans="1:55" x14ac:dyDescent="0.25">
      <c r="A554" s="1"/>
      <c r="B554" s="1"/>
      <c r="C554" s="1"/>
      <c r="D554" s="1"/>
      <c r="E554" s="1"/>
      <c r="F554" s="1"/>
      <c r="G554" s="1"/>
      <c r="H554" s="1"/>
      <c r="I554" s="23"/>
      <c r="J554" s="1"/>
      <c r="K554" s="23"/>
      <c r="L554" s="23"/>
      <c r="M554" s="1"/>
      <c r="N554" s="23"/>
      <c r="O554" s="23"/>
      <c r="P554" s="1"/>
      <c r="Q554" s="1"/>
      <c r="R554" s="1"/>
      <c r="S554" s="23"/>
      <c r="T554" s="1"/>
      <c r="U554" s="23"/>
      <c r="V554" s="23"/>
      <c r="W554" s="1"/>
      <c r="X554" s="23"/>
      <c r="Y554" s="23"/>
      <c r="Z554" s="1"/>
      <c r="AA554" s="1"/>
      <c r="AB554" s="1"/>
      <c r="AC554" s="1"/>
      <c r="AD554" s="23"/>
      <c r="AE554" s="1"/>
      <c r="AF554" s="23"/>
      <c r="AG554" s="23"/>
      <c r="AH554" s="1"/>
      <c r="AI554" s="23"/>
      <c r="AJ554" s="23"/>
      <c r="AK554" s="1"/>
      <c r="AL554" s="1"/>
      <c r="AM554" s="1"/>
      <c r="AN554" s="1"/>
      <c r="AO554" s="23"/>
      <c r="AP554" s="1"/>
      <c r="AQ554" s="23"/>
      <c r="AR554" s="23"/>
      <c r="AS554" s="1"/>
      <c r="AX554" s="1"/>
      <c r="AY554" s="23"/>
      <c r="AZ554" s="1"/>
      <c r="BA554" s="23"/>
      <c r="BB554" s="23"/>
      <c r="BC554" s="1"/>
    </row>
    <row r="555" spans="1:55" x14ac:dyDescent="0.25">
      <c r="A555" s="1"/>
      <c r="B555" s="1"/>
      <c r="C555" s="1"/>
      <c r="D555" s="1"/>
      <c r="E555" s="1"/>
      <c r="F555" s="1"/>
      <c r="G555" s="1"/>
      <c r="H555" s="1"/>
      <c r="I555" s="23"/>
      <c r="J555" s="1"/>
      <c r="K555" s="23"/>
      <c r="L555" s="23"/>
      <c r="M555" s="1"/>
      <c r="N555" s="23"/>
      <c r="O555" s="23"/>
      <c r="P555" s="1"/>
      <c r="Q555" s="1"/>
      <c r="R555" s="1"/>
      <c r="S555" s="23"/>
      <c r="T555" s="1"/>
      <c r="U555" s="23"/>
      <c r="V555" s="23"/>
      <c r="W555" s="1"/>
      <c r="X555" s="23"/>
      <c r="Y555" s="23"/>
      <c r="Z555" s="1"/>
      <c r="AA555" s="1"/>
      <c r="AB555" s="1"/>
      <c r="AC555" s="1"/>
      <c r="AD555" s="23"/>
      <c r="AE555" s="1"/>
      <c r="AF555" s="23"/>
      <c r="AG555" s="23"/>
      <c r="AH555" s="1"/>
      <c r="AI555" s="23"/>
      <c r="AJ555" s="23"/>
      <c r="AK555" s="1"/>
      <c r="AL555" s="1"/>
      <c r="AM555" s="1"/>
      <c r="AN555" s="1"/>
      <c r="AO555" s="23"/>
      <c r="AP555" s="1"/>
      <c r="AQ555" s="23"/>
      <c r="AR555" s="23"/>
      <c r="AS555" s="1"/>
      <c r="AX555" s="1"/>
      <c r="AY555" s="23"/>
      <c r="AZ555" s="1"/>
      <c r="BA555" s="23"/>
      <c r="BB555" s="23"/>
      <c r="BC555" s="1"/>
    </row>
    <row r="556" spans="1:55" x14ac:dyDescent="0.25">
      <c r="A556" s="1"/>
      <c r="B556" s="1"/>
      <c r="C556" s="1"/>
      <c r="D556" s="1"/>
      <c r="E556" s="1"/>
      <c r="F556" s="1"/>
      <c r="G556" s="1"/>
      <c r="H556" s="1"/>
      <c r="I556" s="23"/>
      <c r="J556" s="1"/>
      <c r="K556" s="23"/>
      <c r="L556" s="23"/>
      <c r="M556" s="1"/>
      <c r="N556" s="23"/>
      <c r="O556" s="23"/>
      <c r="P556" s="1"/>
      <c r="Q556" s="1"/>
      <c r="R556" s="1"/>
      <c r="S556" s="23"/>
      <c r="T556" s="1"/>
      <c r="U556" s="23"/>
      <c r="V556" s="23"/>
      <c r="W556" s="1"/>
      <c r="X556" s="23"/>
      <c r="Y556" s="23"/>
      <c r="Z556" s="1"/>
      <c r="AA556" s="1"/>
      <c r="AB556" s="1"/>
      <c r="AC556" s="1"/>
      <c r="AD556" s="23"/>
      <c r="AE556" s="1"/>
      <c r="AF556" s="23"/>
      <c r="AG556" s="23"/>
      <c r="AH556" s="1"/>
      <c r="AI556" s="23"/>
      <c r="AJ556" s="23"/>
      <c r="AK556" s="1"/>
      <c r="AL556" s="1"/>
      <c r="AM556" s="1"/>
      <c r="AN556" s="1"/>
      <c r="AO556" s="23"/>
      <c r="AP556" s="1"/>
      <c r="AQ556" s="23"/>
      <c r="AR556" s="23"/>
      <c r="AS556" s="1"/>
      <c r="AX556" s="1"/>
      <c r="AY556" s="23"/>
      <c r="AZ556" s="1"/>
      <c r="BA556" s="23"/>
      <c r="BB556" s="23"/>
      <c r="BC556" s="1"/>
    </row>
    <row r="557" spans="1:55" x14ac:dyDescent="0.25">
      <c r="A557" s="1"/>
      <c r="B557" s="1"/>
      <c r="C557" s="1"/>
      <c r="D557" s="1"/>
      <c r="E557" s="1"/>
      <c r="F557" s="1"/>
      <c r="G557" s="1"/>
      <c r="H557" s="1"/>
      <c r="I557" s="23"/>
      <c r="J557" s="1"/>
      <c r="K557" s="23"/>
      <c r="L557" s="23"/>
      <c r="M557" s="1"/>
      <c r="N557" s="23"/>
      <c r="O557" s="23"/>
      <c r="P557" s="1"/>
      <c r="Q557" s="1"/>
      <c r="R557" s="1"/>
      <c r="S557" s="23"/>
      <c r="T557" s="1"/>
      <c r="U557" s="23"/>
      <c r="V557" s="23"/>
      <c r="W557" s="1"/>
      <c r="X557" s="23"/>
      <c r="Y557" s="23"/>
      <c r="Z557" s="1"/>
      <c r="AA557" s="1"/>
      <c r="AB557" s="1"/>
      <c r="AC557" s="1"/>
      <c r="AD557" s="23"/>
      <c r="AE557" s="1"/>
      <c r="AF557" s="23"/>
      <c r="AG557" s="23"/>
      <c r="AH557" s="1"/>
      <c r="AI557" s="23"/>
      <c r="AJ557" s="23"/>
      <c r="AK557" s="1"/>
      <c r="AL557" s="1"/>
      <c r="AM557" s="1"/>
      <c r="AN557" s="1"/>
      <c r="AO557" s="23"/>
      <c r="AP557" s="1"/>
      <c r="AQ557" s="23"/>
      <c r="AR557" s="23"/>
      <c r="AS557" s="1"/>
      <c r="AX557" s="1"/>
      <c r="AY557" s="23"/>
      <c r="AZ557" s="1"/>
      <c r="BA557" s="23"/>
      <c r="BB557" s="23"/>
      <c r="BC557" s="1"/>
    </row>
    <row r="558" spans="1:55" x14ac:dyDescent="0.25">
      <c r="A558" s="1"/>
      <c r="B558" s="1"/>
      <c r="C558" s="1"/>
      <c r="D558" s="1"/>
      <c r="E558" s="1"/>
      <c r="F558" s="1"/>
      <c r="G558" s="1"/>
      <c r="H558" s="1"/>
      <c r="I558" s="23"/>
      <c r="J558" s="1"/>
      <c r="K558" s="23"/>
      <c r="L558" s="23"/>
      <c r="M558" s="1"/>
      <c r="N558" s="23"/>
      <c r="O558" s="23"/>
      <c r="P558" s="1"/>
      <c r="Q558" s="1"/>
      <c r="R558" s="1"/>
      <c r="S558" s="23"/>
      <c r="T558" s="1"/>
      <c r="U558" s="23"/>
      <c r="V558" s="23"/>
      <c r="W558" s="1"/>
      <c r="X558" s="23"/>
      <c r="Y558" s="23"/>
      <c r="Z558" s="1"/>
      <c r="AA558" s="1"/>
      <c r="AB558" s="1"/>
      <c r="AC558" s="1"/>
      <c r="AD558" s="23"/>
      <c r="AE558" s="1"/>
      <c r="AF558" s="23"/>
      <c r="AG558" s="23"/>
      <c r="AH558" s="1"/>
      <c r="AI558" s="23"/>
      <c r="AJ558" s="23"/>
      <c r="AK558" s="1"/>
      <c r="AL558" s="1"/>
      <c r="AM558" s="1"/>
      <c r="AN558" s="1"/>
      <c r="AO558" s="23"/>
      <c r="AP558" s="1"/>
      <c r="AQ558" s="23"/>
      <c r="AR558" s="23"/>
      <c r="AS558" s="1"/>
      <c r="AX558" s="1"/>
      <c r="AY558" s="23"/>
      <c r="AZ558" s="1"/>
      <c r="BA558" s="23"/>
      <c r="BB558" s="23"/>
      <c r="BC558" s="1"/>
    </row>
    <row r="559" spans="1:55" x14ac:dyDescent="0.25">
      <c r="A559" s="1"/>
      <c r="B559" s="1"/>
      <c r="C559" s="1"/>
      <c r="D559" s="1"/>
      <c r="E559" s="1"/>
      <c r="F559" s="1"/>
      <c r="G559" s="1"/>
      <c r="H559" s="1"/>
      <c r="I559" s="23"/>
      <c r="J559" s="1"/>
      <c r="K559" s="23"/>
      <c r="L559" s="23"/>
      <c r="M559" s="1"/>
      <c r="N559" s="23"/>
      <c r="O559" s="23"/>
      <c r="P559" s="1"/>
      <c r="Q559" s="1"/>
      <c r="R559" s="1"/>
      <c r="S559" s="23"/>
      <c r="T559" s="1"/>
      <c r="U559" s="23"/>
      <c r="V559" s="23"/>
      <c r="W559" s="1"/>
      <c r="X559" s="23"/>
      <c r="Y559" s="23"/>
      <c r="Z559" s="1"/>
      <c r="AA559" s="1"/>
      <c r="AB559" s="1"/>
      <c r="AC559" s="1"/>
      <c r="AD559" s="23"/>
      <c r="AE559" s="1"/>
      <c r="AF559" s="23"/>
      <c r="AG559" s="23"/>
      <c r="AH559" s="1"/>
      <c r="AI559" s="23"/>
      <c r="AJ559" s="23"/>
      <c r="AK559" s="1"/>
      <c r="AL559" s="1"/>
      <c r="AM559" s="1"/>
      <c r="AN559" s="1"/>
      <c r="AO559" s="23"/>
      <c r="AP559" s="1"/>
      <c r="AQ559" s="23"/>
      <c r="AR559" s="23"/>
      <c r="AS559" s="1"/>
      <c r="AX559" s="1"/>
      <c r="AY559" s="23"/>
      <c r="AZ559" s="1"/>
      <c r="BA559" s="23"/>
      <c r="BB559" s="23"/>
      <c r="BC559" s="1"/>
    </row>
    <row r="560" spans="1:55" x14ac:dyDescent="0.25">
      <c r="A560" s="1"/>
      <c r="B560" s="1"/>
      <c r="C560" s="1"/>
      <c r="D560" s="1"/>
      <c r="E560" s="1"/>
      <c r="F560" s="1"/>
      <c r="G560" s="1"/>
      <c r="H560" s="1"/>
      <c r="I560" s="23"/>
      <c r="J560" s="1"/>
      <c r="K560" s="23"/>
      <c r="L560" s="23"/>
      <c r="M560" s="1"/>
      <c r="N560" s="23"/>
      <c r="O560" s="23"/>
      <c r="P560" s="1"/>
      <c r="Q560" s="1"/>
      <c r="R560" s="1"/>
      <c r="S560" s="23"/>
      <c r="T560" s="1"/>
      <c r="U560" s="23"/>
      <c r="V560" s="23"/>
      <c r="W560" s="1"/>
      <c r="X560" s="23"/>
      <c r="Y560" s="23"/>
      <c r="Z560" s="1"/>
      <c r="AA560" s="1"/>
      <c r="AB560" s="1"/>
      <c r="AC560" s="1"/>
      <c r="AD560" s="23"/>
      <c r="AE560" s="1"/>
      <c r="AF560" s="23"/>
      <c r="AG560" s="23"/>
      <c r="AH560" s="1"/>
      <c r="AI560" s="23"/>
      <c r="AJ560" s="23"/>
      <c r="AK560" s="1"/>
      <c r="AL560" s="1"/>
      <c r="AM560" s="1"/>
      <c r="AN560" s="1"/>
      <c r="AO560" s="23"/>
      <c r="AP560" s="1"/>
      <c r="AQ560" s="23"/>
      <c r="AR560" s="23"/>
      <c r="AS560" s="1"/>
      <c r="AX560" s="1"/>
      <c r="AY560" s="23"/>
      <c r="AZ560" s="1"/>
      <c r="BA560" s="23"/>
      <c r="BB560" s="23"/>
      <c r="BC560" s="1"/>
    </row>
    <row r="561" spans="1:55" x14ac:dyDescent="0.25">
      <c r="A561" s="1"/>
      <c r="B561" s="1"/>
      <c r="C561" s="1"/>
      <c r="D561" s="1"/>
      <c r="E561" s="1"/>
      <c r="F561" s="1"/>
      <c r="G561" s="1"/>
      <c r="H561" s="1"/>
      <c r="I561" s="23"/>
      <c r="J561" s="1"/>
      <c r="K561" s="23"/>
      <c r="L561" s="23"/>
      <c r="M561" s="1"/>
      <c r="N561" s="23"/>
      <c r="O561" s="23"/>
      <c r="P561" s="1"/>
      <c r="Q561" s="1"/>
      <c r="R561" s="1"/>
      <c r="S561" s="23"/>
      <c r="T561" s="1"/>
      <c r="U561" s="23"/>
      <c r="V561" s="23"/>
      <c r="W561" s="1"/>
      <c r="X561" s="23"/>
      <c r="Y561" s="23"/>
      <c r="Z561" s="1"/>
      <c r="AA561" s="1"/>
      <c r="AB561" s="1"/>
      <c r="AC561" s="1"/>
      <c r="AD561" s="23"/>
      <c r="AE561" s="1"/>
      <c r="AF561" s="23"/>
      <c r="AG561" s="23"/>
      <c r="AH561" s="1"/>
      <c r="AI561" s="23"/>
      <c r="AJ561" s="23"/>
      <c r="AK561" s="1"/>
      <c r="AL561" s="1"/>
      <c r="AM561" s="1"/>
      <c r="AN561" s="1"/>
      <c r="AO561" s="23"/>
      <c r="AP561" s="1"/>
      <c r="AQ561" s="23"/>
      <c r="AR561" s="23"/>
      <c r="AS561" s="1"/>
      <c r="AX561" s="1"/>
      <c r="AY561" s="23"/>
      <c r="AZ561" s="1"/>
      <c r="BA561" s="23"/>
      <c r="BB561" s="23"/>
      <c r="BC561" s="1"/>
    </row>
    <row r="562" spans="1:55" x14ac:dyDescent="0.25">
      <c r="A562" s="1"/>
      <c r="B562" s="1"/>
      <c r="C562" s="1"/>
      <c r="D562" s="1"/>
      <c r="E562" s="1"/>
      <c r="F562" s="1"/>
      <c r="G562" s="1"/>
      <c r="H562" s="1"/>
      <c r="I562" s="23"/>
      <c r="J562" s="1"/>
      <c r="K562" s="23"/>
      <c r="L562" s="23"/>
      <c r="M562" s="1"/>
      <c r="N562" s="23"/>
      <c r="O562" s="23"/>
      <c r="P562" s="1"/>
      <c r="Q562" s="1"/>
      <c r="R562" s="1"/>
      <c r="S562" s="23"/>
      <c r="T562" s="1"/>
      <c r="U562" s="23"/>
      <c r="V562" s="23"/>
      <c r="W562" s="1"/>
      <c r="X562" s="23"/>
      <c r="Y562" s="23"/>
      <c r="Z562" s="1"/>
      <c r="AA562" s="1"/>
      <c r="AB562" s="1"/>
      <c r="AC562" s="1"/>
      <c r="AD562" s="23"/>
      <c r="AE562" s="1"/>
      <c r="AF562" s="23"/>
      <c r="AG562" s="23"/>
      <c r="AH562" s="1"/>
      <c r="AI562" s="23"/>
      <c r="AJ562" s="23"/>
      <c r="AK562" s="1"/>
      <c r="AL562" s="1"/>
      <c r="AM562" s="1"/>
      <c r="AN562" s="1"/>
      <c r="AO562" s="23"/>
      <c r="AP562" s="1"/>
      <c r="AQ562" s="23"/>
      <c r="AR562" s="23"/>
      <c r="AS562" s="1"/>
      <c r="AX562" s="1"/>
      <c r="AY562" s="23"/>
      <c r="AZ562" s="1"/>
      <c r="BA562" s="23"/>
      <c r="BB562" s="23"/>
      <c r="BC562" s="1"/>
    </row>
    <row r="563" spans="1:55" x14ac:dyDescent="0.25">
      <c r="A563" s="1"/>
      <c r="B563" s="1"/>
      <c r="C563" s="1"/>
      <c r="D563" s="1"/>
      <c r="E563" s="1"/>
      <c r="F563" s="1"/>
      <c r="G563" s="1"/>
      <c r="H563" s="1"/>
      <c r="I563" s="23"/>
      <c r="J563" s="1"/>
      <c r="K563" s="23"/>
      <c r="L563" s="23"/>
      <c r="M563" s="1"/>
      <c r="N563" s="23"/>
      <c r="O563" s="23"/>
      <c r="P563" s="1"/>
      <c r="Q563" s="1"/>
      <c r="R563" s="1"/>
      <c r="S563" s="23"/>
      <c r="T563" s="1"/>
      <c r="U563" s="23"/>
      <c r="V563" s="23"/>
      <c r="W563" s="1"/>
      <c r="X563" s="23"/>
      <c r="Y563" s="23"/>
      <c r="Z563" s="1"/>
      <c r="AA563" s="1"/>
      <c r="AB563" s="1"/>
      <c r="AC563" s="1"/>
      <c r="AD563" s="23"/>
      <c r="AE563" s="1"/>
      <c r="AF563" s="23"/>
      <c r="AG563" s="23"/>
      <c r="AH563" s="1"/>
      <c r="AI563" s="23"/>
      <c r="AJ563" s="23"/>
      <c r="AK563" s="1"/>
      <c r="AL563" s="1"/>
      <c r="AM563" s="1"/>
      <c r="AN563" s="1"/>
      <c r="AO563" s="23"/>
      <c r="AP563" s="1"/>
      <c r="AQ563" s="23"/>
      <c r="AR563" s="23"/>
      <c r="AS563" s="1"/>
      <c r="AX563" s="1"/>
      <c r="AY563" s="23"/>
      <c r="AZ563" s="1"/>
      <c r="BA563" s="23"/>
      <c r="BB563" s="23"/>
      <c r="BC563" s="1"/>
    </row>
    <row r="564" spans="1:55" x14ac:dyDescent="0.25">
      <c r="A564" s="1"/>
      <c r="B564" s="1"/>
      <c r="C564" s="1"/>
      <c r="D564" s="1"/>
      <c r="E564" s="1"/>
      <c r="F564" s="1"/>
      <c r="G564" s="1"/>
      <c r="H564" s="1"/>
      <c r="I564" s="23"/>
      <c r="J564" s="1"/>
      <c r="K564" s="23"/>
      <c r="L564" s="23"/>
      <c r="M564" s="1"/>
      <c r="N564" s="23"/>
      <c r="O564" s="23"/>
      <c r="P564" s="1"/>
      <c r="Q564" s="1"/>
      <c r="R564" s="1"/>
      <c r="S564" s="23"/>
      <c r="T564" s="1"/>
      <c r="U564" s="23"/>
      <c r="V564" s="23"/>
      <c r="W564" s="1"/>
      <c r="X564" s="23"/>
      <c r="Y564" s="23"/>
      <c r="Z564" s="1"/>
      <c r="AA564" s="1"/>
      <c r="AB564" s="1"/>
      <c r="AC564" s="1"/>
      <c r="AD564" s="23"/>
      <c r="AE564" s="1"/>
      <c r="AF564" s="23"/>
      <c r="AG564" s="23"/>
      <c r="AH564" s="1"/>
      <c r="AI564" s="23"/>
      <c r="AJ564" s="23"/>
      <c r="AK564" s="1"/>
      <c r="AL564" s="1"/>
      <c r="AM564" s="1"/>
      <c r="AN564" s="1"/>
      <c r="AO564" s="23"/>
      <c r="AP564" s="1"/>
      <c r="AQ564" s="23"/>
      <c r="AR564" s="23"/>
      <c r="AS564" s="1"/>
      <c r="AX564" s="1"/>
      <c r="AY564" s="23"/>
      <c r="AZ564" s="1"/>
      <c r="BA564" s="23"/>
      <c r="BB564" s="23"/>
      <c r="BC564" s="1"/>
    </row>
    <row r="565" spans="1:55" x14ac:dyDescent="0.25">
      <c r="A565" s="1"/>
      <c r="B565" s="1"/>
      <c r="C565" s="1"/>
      <c r="D565" s="1"/>
      <c r="E565" s="1"/>
      <c r="F565" s="1"/>
      <c r="G565" s="1"/>
      <c r="H565" s="1"/>
      <c r="I565" s="23"/>
      <c r="J565" s="1"/>
      <c r="K565" s="23"/>
      <c r="L565" s="23"/>
      <c r="M565" s="1"/>
      <c r="N565" s="23"/>
      <c r="O565" s="23"/>
      <c r="P565" s="1"/>
      <c r="Q565" s="1"/>
      <c r="R565" s="1"/>
      <c r="S565" s="23"/>
      <c r="T565" s="1"/>
      <c r="U565" s="23"/>
      <c r="V565" s="23"/>
      <c r="W565" s="1"/>
      <c r="X565" s="23"/>
      <c r="Y565" s="23"/>
      <c r="Z565" s="1"/>
      <c r="AA565" s="1"/>
      <c r="AB565" s="1"/>
      <c r="AC565" s="1"/>
      <c r="AD565" s="23"/>
      <c r="AE565" s="1"/>
      <c r="AF565" s="23"/>
      <c r="AG565" s="23"/>
      <c r="AH565" s="1"/>
      <c r="AI565" s="23"/>
      <c r="AJ565" s="23"/>
      <c r="AK565" s="1"/>
      <c r="AL565" s="1"/>
      <c r="AM565" s="1"/>
      <c r="AN565" s="1"/>
      <c r="AO565" s="23"/>
      <c r="AP565" s="1"/>
      <c r="AQ565" s="23"/>
      <c r="AR565" s="23"/>
      <c r="AS565" s="1"/>
      <c r="AX565" s="1"/>
      <c r="AY565" s="23"/>
      <c r="AZ565" s="1"/>
      <c r="BA565" s="23"/>
      <c r="BB565" s="23"/>
      <c r="BC565" s="1"/>
    </row>
    <row r="566" spans="1:55" x14ac:dyDescent="0.25">
      <c r="A566" s="1"/>
      <c r="B566" s="1"/>
      <c r="C566" s="1"/>
      <c r="D566" s="1"/>
      <c r="E566" s="1"/>
      <c r="F566" s="1"/>
      <c r="G566" s="1"/>
      <c r="H566" s="1"/>
      <c r="I566" s="23"/>
      <c r="J566" s="1"/>
      <c r="K566" s="23"/>
      <c r="L566" s="23"/>
      <c r="M566" s="1"/>
      <c r="N566" s="23"/>
      <c r="O566" s="23"/>
      <c r="P566" s="1"/>
      <c r="Q566" s="1"/>
      <c r="R566" s="1"/>
      <c r="S566" s="23"/>
      <c r="T566" s="1"/>
      <c r="U566" s="23"/>
      <c r="V566" s="23"/>
      <c r="W566" s="1"/>
      <c r="X566" s="23"/>
      <c r="Y566" s="23"/>
      <c r="Z566" s="1"/>
      <c r="AA566" s="1"/>
      <c r="AB566" s="1"/>
      <c r="AC566" s="1"/>
      <c r="AD566" s="23"/>
      <c r="AE566" s="1"/>
      <c r="AF566" s="23"/>
      <c r="AG566" s="23"/>
      <c r="AH566" s="1"/>
      <c r="AI566" s="23"/>
      <c r="AJ566" s="23"/>
      <c r="AK566" s="1"/>
      <c r="AL566" s="1"/>
      <c r="AM566" s="1"/>
      <c r="AN566" s="1"/>
      <c r="AO566" s="23"/>
      <c r="AP566" s="1"/>
      <c r="AQ566" s="23"/>
      <c r="AR566" s="23"/>
      <c r="AS566" s="1"/>
      <c r="AX566" s="1"/>
      <c r="AY566" s="23"/>
      <c r="AZ566" s="1"/>
      <c r="BA566" s="23"/>
      <c r="BB566" s="23"/>
      <c r="BC566" s="1"/>
    </row>
    <row r="567" spans="1:55" x14ac:dyDescent="0.25">
      <c r="A567" s="1"/>
      <c r="B567" s="1"/>
      <c r="C567" s="1"/>
      <c r="D567" s="1"/>
      <c r="E567" s="1"/>
      <c r="F567" s="1"/>
      <c r="G567" s="1"/>
      <c r="H567" s="1"/>
      <c r="I567" s="23"/>
      <c r="J567" s="1"/>
      <c r="K567" s="23"/>
      <c r="L567" s="23"/>
      <c r="M567" s="1"/>
      <c r="N567" s="23"/>
      <c r="O567" s="23"/>
      <c r="P567" s="1"/>
      <c r="Q567" s="1"/>
      <c r="R567" s="1"/>
      <c r="S567" s="23"/>
      <c r="T567" s="1"/>
      <c r="U567" s="23"/>
      <c r="V567" s="23"/>
      <c r="W567" s="1"/>
      <c r="X567" s="23"/>
      <c r="Y567" s="23"/>
      <c r="Z567" s="1"/>
      <c r="AA567" s="1"/>
      <c r="AB567" s="1"/>
      <c r="AC567" s="1"/>
      <c r="AD567" s="23"/>
      <c r="AE567" s="1"/>
      <c r="AF567" s="23"/>
      <c r="AG567" s="23"/>
      <c r="AH567" s="1"/>
      <c r="AI567" s="23"/>
      <c r="AJ567" s="23"/>
      <c r="AK567" s="1"/>
      <c r="AL567" s="1"/>
      <c r="AM567" s="1"/>
      <c r="AN567" s="1"/>
      <c r="AO567" s="23"/>
      <c r="AP567" s="1"/>
      <c r="AQ567" s="23"/>
      <c r="AR567" s="23"/>
      <c r="AS567" s="1"/>
      <c r="AX567" s="1"/>
      <c r="AY567" s="23"/>
      <c r="AZ567" s="1"/>
      <c r="BA567" s="23"/>
      <c r="BB567" s="23"/>
      <c r="BC567" s="1"/>
    </row>
    <row r="568" spans="1:55" x14ac:dyDescent="0.25">
      <c r="A568" s="1"/>
      <c r="B568" s="1"/>
      <c r="C568" s="1"/>
      <c r="D568" s="1"/>
      <c r="E568" s="1"/>
      <c r="F568" s="1"/>
      <c r="G568" s="1"/>
      <c r="H568" s="1"/>
      <c r="I568" s="23"/>
      <c r="J568" s="1"/>
      <c r="K568" s="23"/>
      <c r="L568" s="23"/>
      <c r="M568" s="1"/>
      <c r="N568" s="23"/>
      <c r="O568" s="23"/>
      <c r="P568" s="1"/>
      <c r="Q568" s="1"/>
      <c r="R568" s="1"/>
      <c r="S568" s="23"/>
      <c r="T568" s="1"/>
      <c r="U568" s="23"/>
      <c r="V568" s="23"/>
      <c r="W568" s="1"/>
      <c r="X568" s="23"/>
      <c r="Y568" s="23"/>
      <c r="Z568" s="1"/>
      <c r="AA568" s="1"/>
      <c r="AB568" s="1"/>
      <c r="AC568" s="1"/>
      <c r="AD568" s="23"/>
      <c r="AE568" s="1"/>
      <c r="AF568" s="23"/>
      <c r="AG568" s="23"/>
      <c r="AH568" s="1"/>
      <c r="AI568" s="23"/>
      <c r="AJ568" s="23"/>
      <c r="AK568" s="1"/>
      <c r="AL568" s="1"/>
      <c r="AM568" s="1"/>
      <c r="AN568" s="1"/>
      <c r="AO568" s="23"/>
      <c r="AP568" s="1"/>
      <c r="AQ568" s="23"/>
      <c r="AR568" s="23"/>
      <c r="AS568" s="1"/>
      <c r="AX568" s="1"/>
      <c r="AY568" s="23"/>
      <c r="AZ568" s="1"/>
      <c r="BA568" s="23"/>
      <c r="BB568" s="23"/>
      <c r="BC568" s="1"/>
    </row>
    <row r="569" spans="1:55" x14ac:dyDescent="0.25">
      <c r="A569" s="1"/>
      <c r="B569" s="1"/>
      <c r="C569" s="1"/>
      <c r="D569" s="1"/>
      <c r="E569" s="1"/>
      <c r="F569" s="1"/>
      <c r="G569" s="1"/>
      <c r="H569" s="1"/>
      <c r="I569" s="23"/>
      <c r="J569" s="1"/>
      <c r="K569" s="23"/>
      <c r="L569" s="23"/>
      <c r="M569" s="1"/>
      <c r="N569" s="23"/>
      <c r="O569" s="23"/>
      <c r="P569" s="1"/>
      <c r="Q569" s="1"/>
      <c r="R569" s="1"/>
      <c r="S569" s="23"/>
      <c r="T569" s="1"/>
      <c r="U569" s="23"/>
      <c r="V569" s="23"/>
      <c r="W569" s="1"/>
      <c r="X569" s="23"/>
      <c r="Y569" s="23"/>
      <c r="Z569" s="1"/>
      <c r="AA569" s="1"/>
      <c r="AB569" s="1"/>
      <c r="AC569" s="1"/>
      <c r="AD569" s="23"/>
      <c r="AE569" s="1"/>
      <c r="AF569" s="23"/>
      <c r="AG569" s="23"/>
      <c r="AH569" s="1"/>
      <c r="AI569" s="23"/>
      <c r="AJ569" s="23"/>
      <c r="AK569" s="1"/>
      <c r="AL569" s="1"/>
      <c r="AM569" s="1"/>
      <c r="AN569" s="1"/>
      <c r="AO569" s="23"/>
      <c r="AP569" s="1"/>
      <c r="AQ569" s="23"/>
      <c r="AR569" s="23"/>
      <c r="AS569" s="1"/>
      <c r="AX569" s="1"/>
      <c r="AY569" s="23"/>
      <c r="AZ569" s="1"/>
      <c r="BA569" s="23"/>
      <c r="BB569" s="23"/>
      <c r="BC569" s="1"/>
    </row>
    <row r="570" spans="1:55" x14ac:dyDescent="0.25">
      <c r="A570" s="1"/>
      <c r="B570" s="1"/>
      <c r="C570" s="1"/>
      <c r="D570" s="1"/>
      <c r="E570" s="1"/>
      <c r="F570" s="1"/>
      <c r="G570" s="1"/>
      <c r="H570" s="1"/>
      <c r="I570" s="23"/>
      <c r="J570" s="1"/>
      <c r="K570" s="23"/>
      <c r="L570" s="23"/>
      <c r="M570" s="1"/>
      <c r="N570" s="23"/>
      <c r="O570" s="23"/>
      <c r="P570" s="1"/>
      <c r="Q570" s="1"/>
      <c r="R570" s="1"/>
      <c r="S570" s="23"/>
      <c r="T570" s="1"/>
      <c r="U570" s="23"/>
      <c r="V570" s="23"/>
      <c r="W570" s="1"/>
      <c r="X570" s="23"/>
      <c r="Y570" s="23"/>
      <c r="Z570" s="1"/>
      <c r="AA570" s="1"/>
      <c r="AB570" s="1"/>
      <c r="AC570" s="1"/>
      <c r="AD570" s="23"/>
      <c r="AE570" s="1"/>
      <c r="AF570" s="23"/>
      <c r="AG570" s="23"/>
      <c r="AH570" s="1"/>
      <c r="AI570" s="23"/>
      <c r="AJ570" s="23"/>
      <c r="AK570" s="1"/>
      <c r="AL570" s="1"/>
      <c r="AM570" s="1"/>
      <c r="AN570" s="1"/>
      <c r="AO570" s="23"/>
      <c r="AP570" s="1"/>
      <c r="AQ570" s="23"/>
      <c r="AR570" s="23"/>
      <c r="AS570" s="1"/>
      <c r="AX570" s="1"/>
      <c r="AY570" s="23"/>
      <c r="AZ570" s="1"/>
      <c r="BA570" s="23"/>
      <c r="BB570" s="23"/>
      <c r="BC570" s="1"/>
    </row>
    <row r="571" spans="1:55" x14ac:dyDescent="0.25">
      <c r="A571" s="1"/>
      <c r="B571" s="1"/>
      <c r="C571" s="1"/>
      <c r="D571" s="1"/>
      <c r="E571" s="1"/>
      <c r="F571" s="1"/>
      <c r="G571" s="1"/>
      <c r="H571" s="1"/>
      <c r="I571" s="23"/>
      <c r="J571" s="1"/>
      <c r="K571" s="23"/>
      <c r="L571" s="23"/>
      <c r="M571" s="1"/>
      <c r="N571" s="23"/>
      <c r="O571" s="23"/>
      <c r="P571" s="1"/>
      <c r="Q571" s="1"/>
      <c r="R571" s="1"/>
      <c r="S571" s="23"/>
      <c r="T571" s="1"/>
      <c r="U571" s="23"/>
      <c r="V571" s="23"/>
      <c r="W571" s="1"/>
      <c r="X571" s="23"/>
      <c r="Y571" s="23"/>
      <c r="Z571" s="1"/>
      <c r="AA571" s="1"/>
      <c r="AB571" s="1"/>
      <c r="AC571" s="1"/>
      <c r="AD571" s="23"/>
      <c r="AE571" s="1"/>
      <c r="AF571" s="23"/>
      <c r="AG571" s="23"/>
      <c r="AH571" s="1"/>
      <c r="AI571" s="23"/>
      <c r="AJ571" s="23"/>
      <c r="AK571" s="1"/>
      <c r="AL571" s="1"/>
      <c r="AM571" s="1"/>
      <c r="AN571" s="1"/>
      <c r="AO571" s="23"/>
      <c r="AP571" s="1"/>
      <c r="AQ571" s="23"/>
      <c r="AR571" s="23"/>
      <c r="AS571" s="1"/>
      <c r="AX571" s="1"/>
      <c r="AY571" s="23"/>
      <c r="AZ571" s="1"/>
      <c r="BA571" s="23"/>
      <c r="BB571" s="23"/>
      <c r="BC571" s="1"/>
    </row>
    <row r="572" spans="1:55" x14ac:dyDescent="0.25">
      <c r="A572" s="1"/>
      <c r="B572" s="1"/>
      <c r="C572" s="1"/>
      <c r="D572" s="1"/>
      <c r="E572" s="1"/>
      <c r="F572" s="1"/>
      <c r="G572" s="1"/>
      <c r="H572" s="1"/>
      <c r="I572" s="23"/>
      <c r="J572" s="1"/>
      <c r="K572" s="23"/>
      <c r="L572" s="23"/>
      <c r="M572" s="1"/>
      <c r="N572" s="23"/>
      <c r="O572" s="23"/>
      <c r="P572" s="1"/>
      <c r="Q572" s="1"/>
      <c r="R572" s="1"/>
      <c r="S572" s="23"/>
      <c r="T572" s="1"/>
      <c r="U572" s="23"/>
      <c r="V572" s="23"/>
      <c r="W572" s="1"/>
      <c r="X572" s="23"/>
      <c r="Y572" s="23"/>
      <c r="Z572" s="1"/>
      <c r="AA572" s="1"/>
      <c r="AB572" s="1"/>
      <c r="AC572" s="1"/>
      <c r="AD572" s="23"/>
      <c r="AE572" s="1"/>
      <c r="AF572" s="23"/>
      <c r="AG572" s="23"/>
      <c r="AH572" s="1"/>
      <c r="AI572" s="23"/>
      <c r="AJ572" s="23"/>
      <c r="AK572" s="1"/>
      <c r="AL572" s="1"/>
      <c r="AM572" s="1"/>
      <c r="AN572" s="1"/>
      <c r="AO572" s="23"/>
      <c r="AP572" s="1"/>
      <c r="AQ572" s="23"/>
      <c r="AR572" s="23"/>
      <c r="AS572" s="1"/>
      <c r="AX572" s="1"/>
      <c r="AY572" s="23"/>
      <c r="AZ572" s="1"/>
      <c r="BA572" s="23"/>
      <c r="BB572" s="23"/>
      <c r="BC572" s="1"/>
    </row>
    <row r="573" spans="1:55" x14ac:dyDescent="0.25">
      <c r="A573" s="1"/>
      <c r="B573" s="1"/>
      <c r="C573" s="1"/>
      <c r="D573" s="1"/>
      <c r="E573" s="1"/>
      <c r="F573" s="1"/>
      <c r="G573" s="1"/>
      <c r="H573" s="1"/>
      <c r="I573" s="23"/>
      <c r="J573" s="1"/>
      <c r="K573" s="23"/>
      <c r="L573" s="23"/>
      <c r="M573" s="1"/>
      <c r="N573" s="23"/>
      <c r="O573" s="23"/>
      <c r="P573" s="1"/>
      <c r="Q573" s="1"/>
      <c r="R573" s="1"/>
      <c r="S573" s="23"/>
      <c r="T573" s="1"/>
      <c r="U573" s="23"/>
      <c r="V573" s="23"/>
      <c r="W573" s="1"/>
      <c r="X573" s="23"/>
      <c r="Y573" s="23"/>
      <c r="Z573" s="1"/>
      <c r="AA573" s="1"/>
      <c r="AB573" s="1"/>
      <c r="AC573" s="1"/>
      <c r="AD573" s="23"/>
      <c r="AE573" s="1"/>
      <c r="AF573" s="23"/>
      <c r="AG573" s="23"/>
      <c r="AH573" s="1"/>
      <c r="AI573" s="23"/>
      <c r="AJ573" s="23"/>
      <c r="AK573" s="1"/>
      <c r="AL573" s="1"/>
      <c r="AM573" s="1"/>
      <c r="AN573" s="1"/>
      <c r="AO573" s="23"/>
      <c r="AP573" s="1"/>
      <c r="AQ573" s="23"/>
      <c r="AR573" s="23"/>
      <c r="AS573" s="1"/>
      <c r="AX573" s="1"/>
      <c r="AY573" s="23"/>
      <c r="AZ573" s="1"/>
      <c r="BA573" s="23"/>
      <c r="BB573" s="23"/>
      <c r="BC573" s="1"/>
    </row>
    <row r="574" spans="1:55" x14ac:dyDescent="0.25">
      <c r="A574" s="1"/>
      <c r="B574" s="1"/>
      <c r="C574" s="1"/>
      <c r="D574" s="1"/>
      <c r="E574" s="1"/>
      <c r="F574" s="1"/>
      <c r="G574" s="1"/>
      <c r="H574" s="1"/>
      <c r="I574" s="23"/>
      <c r="J574" s="1"/>
      <c r="K574" s="23"/>
      <c r="L574" s="23"/>
      <c r="M574" s="1"/>
      <c r="N574" s="23"/>
      <c r="O574" s="23"/>
      <c r="P574" s="1"/>
      <c r="Q574" s="1"/>
      <c r="R574" s="1"/>
      <c r="S574" s="23"/>
      <c r="T574" s="1"/>
      <c r="U574" s="23"/>
      <c r="V574" s="23"/>
      <c r="W574" s="1"/>
      <c r="X574" s="23"/>
      <c r="Y574" s="23"/>
      <c r="Z574" s="1"/>
      <c r="AA574" s="1"/>
      <c r="AB574" s="1"/>
      <c r="AC574" s="1"/>
      <c r="AD574" s="23"/>
      <c r="AE574" s="1"/>
      <c r="AF574" s="23"/>
      <c r="AG574" s="23"/>
      <c r="AH574" s="1"/>
      <c r="AI574" s="23"/>
      <c r="AJ574" s="23"/>
      <c r="AK574" s="1"/>
      <c r="AL574" s="1"/>
      <c r="AM574" s="1"/>
      <c r="AN574" s="1"/>
      <c r="AO574" s="23"/>
      <c r="AP574" s="1"/>
      <c r="AQ574" s="23"/>
      <c r="AR574" s="23"/>
      <c r="AS574" s="1"/>
      <c r="AX574" s="1"/>
      <c r="AY574" s="23"/>
      <c r="AZ574" s="1"/>
      <c r="BA574" s="23"/>
      <c r="BB574" s="23"/>
      <c r="BC574" s="1"/>
    </row>
    <row r="575" spans="1:55" x14ac:dyDescent="0.25">
      <c r="A575" s="1"/>
      <c r="B575" s="1"/>
      <c r="C575" s="1"/>
      <c r="D575" s="1"/>
      <c r="E575" s="1"/>
      <c r="F575" s="1"/>
      <c r="G575" s="1"/>
      <c r="H575" s="1"/>
      <c r="I575" s="23"/>
      <c r="J575" s="1"/>
      <c r="K575" s="23"/>
      <c r="L575" s="23"/>
      <c r="M575" s="1"/>
      <c r="N575" s="23"/>
      <c r="O575" s="23"/>
      <c r="P575" s="1"/>
      <c r="Q575" s="1"/>
      <c r="R575" s="1"/>
      <c r="S575" s="23"/>
      <c r="T575" s="1"/>
      <c r="U575" s="23"/>
      <c r="V575" s="23"/>
      <c r="W575" s="1"/>
      <c r="X575" s="23"/>
      <c r="Y575" s="23"/>
      <c r="Z575" s="1"/>
      <c r="AA575" s="1"/>
      <c r="AB575" s="1"/>
      <c r="AC575" s="1"/>
      <c r="AD575" s="23"/>
      <c r="AE575" s="1"/>
      <c r="AF575" s="23"/>
      <c r="AG575" s="23"/>
      <c r="AH575" s="1"/>
      <c r="AI575" s="23"/>
      <c r="AJ575" s="23"/>
      <c r="AK575" s="1"/>
      <c r="AL575" s="1"/>
      <c r="AM575" s="1"/>
      <c r="AN575" s="1"/>
      <c r="AO575" s="23"/>
      <c r="AP575" s="1"/>
      <c r="AQ575" s="23"/>
      <c r="AR575" s="23"/>
      <c r="AS575" s="1"/>
      <c r="AX575" s="1"/>
      <c r="AY575" s="23"/>
      <c r="AZ575" s="1"/>
      <c r="BA575" s="23"/>
      <c r="BB575" s="23"/>
      <c r="BC575" s="1"/>
    </row>
    <row r="576" spans="1:55" x14ac:dyDescent="0.25">
      <c r="A576" s="1"/>
      <c r="B576" s="1"/>
      <c r="C576" s="1"/>
      <c r="D576" s="1"/>
      <c r="E576" s="1"/>
      <c r="F576" s="1"/>
      <c r="G576" s="1"/>
      <c r="H576" s="1"/>
      <c r="I576" s="23"/>
      <c r="J576" s="1"/>
      <c r="K576" s="23"/>
      <c r="L576" s="23"/>
      <c r="M576" s="1"/>
      <c r="N576" s="23"/>
      <c r="O576" s="23"/>
      <c r="P576" s="1"/>
      <c r="Q576" s="1"/>
      <c r="R576" s="1"/>
      <c r="S576" s="23"/>
      <c r="T576" s="1"/>
      <c r="U576" s="23"/>
      <c r="V576" s="23"/>
      <c r="W576" s="1"/>
      <c r="X576" s="23"/>
      <c r="Y576" s="23"/>
      <c r="Z576" s="1"/>
      <c r="AA576" s="1"/>
      <c r="AB576" s="1"/>
      <c r="AC576" s="1"/>
      <c r="AD576" s="23"/>
      <c r="AE576" s="1"/>
      <c r="AF576" s="23"/>
      <c r="AG576" s="23"/>
      <c r="AH576" s="1"/>
      <c r="AI576" s="23"/>
      <c r="AJ576" s="23"/>
      <c r="AK576" s="1"/>
      <c r="AL576" s="1"/>
      <c r="AM576" s="1"/>
      <c r="AN576" s="1"/>
      <c r="AO576" s="23"/>
      <c r="AP576" s="1"/>
      <c r="AQ576" s="23"/>
      <c r="AR576" s="23"/>
      <c r="AS576" s="1"/>
      <c r="AX576" s="1"/>
      <c r="AY576" s="23"/>
      <c r="AZ576" s="1"/>
      <c r="BA576" s="23"/>
      <c r="BB576" s="23"/>
      <c r="BC576" s="1"/>
    </row>
    <row r="577" spans="1:55" x14ac:dyDescent="0.25">
      <c r="A577" s="1"/>
      <c r="B577" s="1"/>
      <c r="C577" s="1"/>
      <c r="D577" s="1"/>
      <c r="E577" s="1"/>
      <c r="F577" s="1"/>
      <c r="G577" s="1"/>
      <c r="H577" s="1"/>
      <c r="I577" s="23"/>
      <c r="J577" s="1"/>
      <c r="K577" s="23"/>
      <c r="L577" s="23"/>
      <c r="M577" s="1"/>
      <c r="N577" s="23"/>
      <c r="O577" s="23"/>
      <c r="P577" s="1"/>
      <c r="Q577" s="1"/>
      <c r="R577" s="1"/>
      <c r="S577" s="23"/>
      <c r="T577" s="1"/>
      <c r="U577" s="23"/>
      <c r="V577" s="23"/>
      <c r="W577" s="1"/>
      <c r="X577" s="23"/>
      <c r="Y577" s="23"/>
      <c r="Z577" s="1"/>
      <c r="AA577" s="1"/>
      <c r="AB577" s="1"/>
      <c r="AC577" s="1"/>
      <c r="AD577" s="23"/>
      <c r="AE577" s="1"/>
      <c r="AF577" s="23"/>
      <c r="AG577" s="23"/>
      <c r="AH577" s="1"/>
      <c r="AI577" s="23"/>
      <c r="AJ577" s="23"/>
      <c r="AK577" s="1"/>
      <c r="AL577" s="1"/>
      <c r="AM577" s="1"/>
      <c r="AN577" s="1"/>
      <c r="AO577" s="23"/>
      <c r="AP577" s="1"/>
      <c r="AQ577" s="23"/>
      <c r="AR577" s="23"/>
      <c r="AS577" s="1"/>
      <c r="AX577" s="1"/>
      <c r="AY577" s="23"/>
      <c r="AZ577" s="1"/>
      <c r="BA577" s="23"/>
      <c r="BB577" s="23"/>
      <c r="BC577" s="1"/>
    </row>
    <row r="578" spans="1:55" x14ac:dyDescent="0.25">
      <c r="A578" s="1"/>
      <c r="B578" s="1"/>
      <c r="C578" s="1"/>
      <c r="D578" s="1"/>
      <c r="E578" s="1"/>
      <c r="F578" s="1"/>
      <c r="G578" s="1"/>
      <c r="H578" s="1"/>
      <c r="I578" s="23"/>
      <c r="J578" s="1"/>
      <c r="K578" s="23"/>
      <c r="L578" s="23"/>
      <c r="M578" s="1"/>
      <c r="N578" s="23"/>
      <c r="O578" s="23"/>
      <c r="P578" s="1"/>
      <c r="Q578" s="1"/>
      <c r="R578" s="1"/>
      <c r="S578" s="23"/>
      <c r="T578" s="1"/>
      <c r="U578" s="23"/>
      <c r="V578" s="23"/>
      <c r="W578" s="1"/>
      <c r="X578" s="23"/>
      <c r="Y578" s="23"/>
      <c r="Z578" s="1"/>
      <c r="AA578" s="1"/>
      <c r="AB578" s="1"/>
      <c r="AC578" s="1"/>
      <c r="AD578" s="23"/>
      <c r="AE578" s="1"/>
      <c r="AF578" s="23"/>
      <c r="AG578" s="23"/>
      <c r="AH578" s="1"/>
      <c r="AI578" s="23"/>
      <c r="AJ578" s="23"/>
      <c r="AK578" s="1"/>
      <c r="AL578" s="1"/>
      <c r="AM578" s="1"/>
      <c r="AN578" s="1"/>
      <c r="AO578" s="23"/>
      <c r="AP578" s="1"/>
      <c r="AQ578" s="23"/>
      <c r="AR578" s="23"/>
      <c r="AS578" s="1"/>
      <c r="AX578" s="1"/>
      <c r="AY578" s="23"/>
      <c r="AZ578" s="1"/>
      <c r="BA578" s="23"/>
      <c r="BB578" s="23"/>
      <c r="BC578" s="1"/>
    </row>
    <row r="579" spans="1:55" x14ac:dyDescent="0.25">
      <c r="A579" s="1"/>
      <c r="B579" s="1"/>
      <c r="C579" s="1"/>
      <c r="D579" s="1"/>
      <c r="E579" s="1"/>
      <c r="F579" s="1"/>
      <c r="G579" s="1"/>
      <c r="H579" s="1"/>
      <c r="I579" s="23"/>
      <c r="J579" s="1"/>
      <c r="K579" s="23"/>
      <c r="L579" s="23"/>
      <c r="M579" s="1"/>
      <c r="N579" s="23"/>
      <c r="O579" s="23"/>
      <c r="P579" s="1"/>
      <c r="Q579" s="1"/>
      <c r="R579" s="1"/>
      <c r="S579" s="23"/>
      <c r="T579" s="1"/>
      <c r="U579" s="23"/>
      <c r="V579" s="23"/>
      <c r="W579" s="1"/>
      <c r="X579" s="23"/>
      <c r="Y579" s="23"/>
      <c r="Z579" s="1"/>
      <c r="AA579" s="1"/>
      <c r="AB579" s="1"/>
      <c r="AC579" s="1"/>
      <c r="AD579" s="23"/>
      <c r="AE579" s="1"/>
      <c r="AF579" s="23"/>
      <c r="AG579" s="23"/>
      <c r="AH579" s="1"/>
      <c r="AI579" s="23"/>
      <c r="AJ579" s="23"/>
      <c r="AK579" s="1"/>
      <c r="AL579" s="1"/>
      <c r="AM579" s="1"/>
      <c r="AN579" s="1"/>
      <c r="AO579" s="23"/>
      <c r="AP579" s="1"/>
      <c r="AQ579" s="23"/>
      <c r="AR579" s="23"/>
      <c r="AS579" s="1"/>
      <c r="AX579" s="1"/>
      <c r="AY579" s="23"/>
      <c r="AZ579" s="1"/>
      <c r="BA579" s="23"/>
      <c r="BB579" s="23"/>
      <c r="BC579" s="1"/>
    </row>
    <row r="580" spans="1:55" x14ac:dyDescent="0.25">
      <c r="A580" s="1"/>
      <c r="B580" s="1"/>
      <c r="C580" s="1"/>
      <c r="D580" s="1"/>
      <c r="E580" s="1"/>
      <c r="F580" s="1"/>
      <c r="G580" s="1"/>
      <c r="H580" s="1"/>
      <c r="I580" s="23"/>
      <c r="J580" s="1"/>
      <c r="K580" s="23"/>
      <c r="L580" s="23"/>
      <c r="M580" s="1"/>
      <c r="N580" s="23"/>
      <c r="O580" s="23"/>
      <c r="P580" s="1"/>
      <c r="Q580" s="1"/>
      <c r="R580" s="1"/>
      <c r="S580" s="23"/>
      <c r="T580" s="1"/>
      <c r="U580" s="23"/>
      <c r="V580" s="23"/>
      <c r="W580" s="1"/>
      <c r="X580" s="23"/>
      <c r="Y580" s="23"/>
      <c r="Z580" s="1"/>
      <c r="AA580" s="1"/>
      <c r="AB580" s="1"/>
      <c r="AC580" s="1"/>
      <c r="AD580" s="23"/>
      <c r="AE580" s="1"/>
      <c r="AF580" s="23"/>
      <c r="AG580" s="23"/>
      <c r="AH580" s="1"/>
      <c r="AI580" s="23"/>
      <c r="AJ580" s="23"/>
      <c r="AK580" s="1"/>
      <c r="AL580" s="1"/>
      <c r="AM580" s="1"/>
      <c r="AN580" s="1"/>
      <c r="AO580" s="23"/>
      <c r="AP580" s="1"/>
      <c r="AQ580" s="23"/>
      <c r="AR580" s="23"/>
      <c r="AS580" s="1"/>
      <c r="AX580" s="1"/>
      <c r="AY580" s="23"/>
      <c r="AZ580" s="1"/>
      <c r="BA580" s="23"/>
      <c r="BB580" s="23"/>
      <c r="BC580" s="1"/>
    </row>
    <row r="581" spans="1:55" x14ac:dyDescent="0.25">
      <c r="A581" s="1"/>
      <c r="B581" s="1"/>
      <c r="C581" s="1"/>
      <c r="D581" s="1"/>
      <c r="E581" s="1"/>
      <c r="F581" s="1"/>
      <c r="G581" s="1"/>
      <c r="H581" s="1"/>
      <c r="I581" s="23"/>
      <c r="J581" s="1"/>
      <c r="K581" s="23"/>
      <c r="L581" s="23"/>
      <c r="M581" s="1"/>
      <c r="N581" s="23"/>
      <c r="O581" s="23"/>
      <c r="P581" s="1"/>
      <c r="Q581" s="1"/>
      <c r="R581" s="1"/>
      <c r="S581" s="23"/>
      <c r="T581" s="1"/>
      <c r="U581" s="23"/>
      <c r="V581" s="23"/>
      <c r="W581" s="1"/>
      <c r="X581" s="23"/>
      <c r="Y581" s="23"/>
      <c r="Z581" s="1"/>
      <c r="AA581" s="1"/>
      <c r="AB581" s="1"/>
      <c r="AC581" s="1"/>
      <c r="AD581" s="23"/>
      <c r="AE581" s="1"/>
      <c r="AF581" s="23"/>
      <c r="AG581" s="23"/>
      <c r="AH581" s="1"/>
      <c r="AI581" s="23"/>
      <c r="AJ581" s="23"/>
      <c r="AK581" s="1"/>
      <c r="AL581" s="1"/>
      <c r="AM581" s="1"/>
      <c r="AN581" s="1"/>
      <c r="AO581" s="23"/>
      <c r="AP581" s="1"/>
      <c r="AQ581" s="23"/>
      <c r="AR581" s="23"/>
      <c r="AS581" s="1"/>
      <c r="AX581" s="1"/>
      <c r="AY581" s="23"/>
      <c r="AZ581" s="1"/>
      <c r="BA581" s="23"/>
      <c r="BB581" s="23"/>
      <c r="BC581" s="1"/>
    </row>
    <row r="582" spans="1:55" x14ac:dyDescent="0.25">
      <c r="A582" s="1"/>
      <c r="B582" s="1"/>
      <c r="C582" s="1"/>
      <c r="D582" s="1"/>
      <c r="E582" s="1"/>
      <c r="F582" s="1"/>
      <c r="G582" s="1"/>
      <c r="H582" s="1"/>
      <c r="I582" s="23"/>
      <c r="J582" s="1"/>
      <c r="K582" s="23"/>
      <c r="L582" s="23"/>
      <c r="M582" s="1"/>
      <c r="N582" s="23"/>
      <c r="O582" s="23"/>
      <c r="P582" s="1"/>
      <c r="Q582" s="1"/>
      <c r="R582" s="1"/>
      <c r="S582" s="23"/>
      <c r="T582" s="1"/>
      <c r="U582" s="23"/>
      <c r="V582" s="23"/>
      <c r="W582" s="1"/>
      <c r="X582" s="23"/>
      <c r="Y582" s="23"/>
      <c r="Z582" s="1"/>
      <c r="AA582" s="1"/>
      <c r="AB582" s="1"/>
      <c r="AC582" s="1"/>
      <c r="AD582" s="23"/>
      <c r="AE582" s="1"/>
      <c r="AF582" s="23"/>
      <c r="AG582" s="23"/>
      <c r="AH582" s="1"/>
      <c r="AI582" s="23"/>
      <c r="AJ582" s="23"/>
      <c r="AK582" s="1"/>
      <c r="AL582" s="1"/>
      <c r="AM582" s="1"/>
      <c r="AN582" s="1"/>
      <c r="AO582" s="23"/>
      <c r="AP582" s="1"/>
      <c r="AQ582" s="23"/>
      <c r="AR582" s="23"/>
      <c r="AS582" s="1"/>
      <c r="AX582" s="1"/>
      <c r="AY582" s="23"/>
      <c r="AZ582" s="1"/>
      <c r="BA582" s="23"/>
      <c r="BB582" s="23"/>
      <c r="BC582" s="1"/>
    </row>
    <row r="583" spans="1:55" x14ac:dyDescent="0.25">
      <c r="A583" s="1"/>
      <c r="B583" s="1"/>
      <c r="C583" s="1"/>
      <c r="D583" s="1"/>
      <c r="E583" s="1"/>
      <c r="F583" s="1"/>
      <c r="G583" s="1"/>
      <c r="H583" s="1"/>
      <c r="I583" s="23"/>
      <c r="J583" s="1"/>
      <c r="K583" s="23"/>
      <c r="L583" s="23"/>
      <c r="M583" s="1"/>
      <c r="N583" s="23"/>
      <c r="O583" s="23"/>
      <c r="P583" s="1"/>
      <c r="Q583" s="1"/>
      <c r="R583" s="1"/>
      <c r="S583" s="23"/>
      <c r="T583" s="1"/>
      <c r="U583" s="23"/>
      <c r="V583" s="23"/>
      <c r="W583" s="1"/>
      <c r="X583" s="23"/>
      <c r="Y583" s="23"/>
      <c r="Z583" s="1"/>
      <c r="AA583" s="1"/>
      <c r="AB583" s="1"/>
      <c r="AC583" s="1"/>
      <c r="AD583" s="23"/>
      <c r="AE583" s="1"/>
      <c r="AF583" s="23"/>
      <c r="AG583" s="23"/>
      <c r="AH583" s="1"/>
      <c r="AI583" s="23"/>
      <c r="AJ583" s="23"/>
      <c r="AK583" s="1"/>
      <c r="AL583" s="1"/>
      <c r="AM583" s="1"/>
      <c r="AN583" s="1"/>
      <c r="AO583" s="23"/>
      <c r="AP583" s="1"/>
      <c r="AQ583" s="23"/>
      <c r="AR583" s="23"/>
      <c r="AS583" s="1"/>
      <c r="AX583" s="1"/>
      <c r="AY583" s="23"/>
      <c r="AZ583" s="1"/>
      <c r="BA583" s="23"/>
      <c r="BB583" s="23"/>
      <c r="BC583" s="1"/>
    </row>
    <row r="584" spans="1:55" x14ac:dyDescent="0.25">
      <c r="A584" s="1"/>
      <c r="B584" s="1"/>
      <c r="C584" s="1"/>
      <c r="D584" s="1"/>
      <c r="E584" s="1"/>
      <c r="F584" s="1"/>
      <c r="G584" s="1"/>
      <c r="H584" s="1"/>
      <c r="I584" s="23"/>
      <c r="J584" s="1"/>
      <c r="K584" s="23"/>
      <c r="L584" s="23"/>
      <c r="M584" s="1"/>
      <c r="N584" s="23"/>
      <c r="O584" s="23"/>
      <c r="P584" s="1"/>
      <c r="Q584" s="1"/>
      <c r="R584" s="1"/>
      <c r="S584" s="23"/>
      <c r="T584" s="1"/>
      <c r="U584" s="23"/>
      <c r="V584" s="23"/>
      <c r="W584" s="1"/>
      <c r="X584" s="23"/>
      <c r="Y584" s="23"/>
      <c r="Z584" s="1"/>
      <c r="AA584" s="1"/>
      <c r="AB584" s="1"/>
      <c r="AC584" s="1"/>
      <c r="AD584" s="23"/>
      <c r="AE584" s="1"/>
      <c r="AF584" s="23"/>
      <c r="AG584" s="23"/>
      <c r="AH584" s="1"/>
      <c r="AI584" s="23"/>
      <c r="AJ584" s="23"/>
      <c r="AK584" s="1"/>
      <c r="AL584" s="1"/>
      <c r="AM584" s="1"/>
      <c r="AN584" s="1"/>
      <c r="AO584" s="23"/>
      <c r="AP584" s="1"/>
      <c r="AQ584" s="23"/>
      <c r="AR584" s="23"/>
      <c r="AS584" s="1"/>
      <c r="AX584" s="1"/>
      <c r="AY584" s="23"/>
      <c r="AZ584" s="1"/>
      <c r="BA584" s="23"/>
      <c r="BB584" s="23"/>
      <c r="BC584" s="1"/>
    </row>
    <row r="585" spans="1:55" x14ac:dyDescent="0.25">
      <c r="A585" s="1"/>
      <c r="B585" s="1"/>
      <c r="C585" s="1"/>
      <c r="D585" s="1"/>
      <c r="E585" s="1"/>
      <c r="F585" s="1"/>
      <c r="G585" s="1"/>
      <c r="H585" s="1"/>
      <c r="I585" s="23"/>
      <c r="J585" s="1"/>
      <c r="K585" s="23"/>
      <c r="L585" s="23"/>
      <c r="M585" s="1"/>
      <c r="N585" s="23"/>
      <c r="O585" s="23"/>
      <c r="P585" s="1"/>
      <c r="Q585" s="1"/>
      <c r="R585" s="1"/>
      <c r="S585" s="23"/>
      <c r="T585" s="1"/>
      <c r="U585" s="23"/>
      <c r="V585" s="23"/>
      <c r="W585" s="1"/>
      <c r="X585" s="23"/>
      <c r="Y585" s="23"/>
      <c r="Z585" s="1"/>
      <c r="AA585" s="1"/>
      <c r="AB585" s="1"/>
      <c r="AC585" s="1"/>
      <c r="AD585" s="23"/>
      <c r="AE585" s="1"/>
      <c r="AF585" s="23"/>
      <c r="AG585" s="23"/>
      <c r="AH585" s="1"/>
      <c r="AI585" s="23"/>
      <c r="AJ585" s="23"/>
      <c r="AK585" s="1"/>
      <c r="AL585" s="1"/>
      <c r="AM585" s="1"/>
      <c r="AN585" s="1"/>
      <c r="AO585" s="23"/>
      <c r="AP585" s="1"/>
      <c r="AQ585" s="23"/>
      <c r="AR585" s="23"/>
      <c r="AS585" s="1"/>
      <c r="AX585" s="1"/>
      <c r="AY585" s="23"/>
      <c r="AZ585" s="1"/>
      <c r="BA585" s="23"/>
      <c r="BB585" s="23"/>
      <c r="BC585" s="1"/>
    </row>
    <row r="586" spans="1:55" x14ac:dyDescent="0.25">
      <c r="A586" s="1"/>
      <c r="B586" s="1"/>
      <c r="C586" s="1"/>
      <c r="D586" s="1"/>
      <c r="E586" s="1"/>
      <c r="F586" s="1"/>
      <c r="G586" s="1"/>
      <c r="H586" s="1"/>
      <c r="I586" s="23"/>
      <c r="J586" s="1"/>
      <c r="K586" s="23"/>
      <c r="L586" s="23"/>
      <c r="M586" s="1"/>
      <c r="N586" s="23"/>
      <c r="O586" s="23"/>
      <c r="P586" s="1"/>
      <c r="Q586" s="1"/>
      <c r="R586" s="1"/>
      <c r="S586" s="23"/>
      <c r="T586" s="1"/>
      <c r="U586" s="23"/>
      <c r="V586" s="23"/>
      <c r="W586" s="1"/>
      <c r="X586" s="23"/>
      <c r="Y586" s="23"/>
      <c r="Z586" s="1"/>
      <c r="AA586" s="1"/>
      <c r="AB586" s="1"/>
      <c r="AC586" s="1"/>
      <c r="AD586" s="23"/>
      <c r="AE586" s="1"/>
      <c r="AF586" s="23"/>
      <c r="AG586" s="23"/>
      <c r="AH586" s="1"/>
      <c r="AI586" s="23"/>
      <c r="AJ586" s="23"/>
      <c r="AK586" s="1"/>
      <c r="AL586" s="1"/>
      <c r="AM586" s="1"/>
      <c r="AN586" s="1"/>
      <c r="AO586" s="23"/>
      <c r="AP586" s="1"/>
      <c r="AQ586" s="23"/>
      <c r="AR586" s="23"/>
      <c r="AS586" s="1"/>
      <c r="AX586" s="1"/>
      <c r="AY586" s="23"/>
      <c r="AZ586" s="1"/>
      <c r="BA586" s="23"/>
      <c r="BB586" s="23"/>
      <c r="BC586" s="1"/>
    </row>
    <row r="587" spans="1:55" x14ac:dyDescent="0.25">
      <c r="A587" s="1"/>
      <c r="B587" s="1"/>
      <c r="C587" s="1"/>
      <c r="D587" s="1"/>
      <c r="E587" s="1"/>
      <c r="F587" s="1"/>
      <c r="G587" s="1"/>
      <c r="H587" s="1"/>
      <c r="I587" s="23"/>
      <c r="J587" s="1"/>
      <c r="K587" s="23"/>
      <c r="L587" s="23"/>
      <c r="M587" s="1"/>
      <c r="N587" s="23"/>
      <c r="O587" s="23"/>
      <c r="P587" s="1"/>
      <c r="Q587" s="1"/>
      <c r="R587" s="1"/>
      <c r="S587" s="23"/>
      <c r="T587" s="1"/>
      <c r="U587" s="23"/>
      <c r="V587" s="23"/>
      <c r="W587" s="1"/>
      <c r="X587" s="23"/>
      <c r="Y587" s="23"/>
      <c r="Z587" s="1"/>
      <c r="AA587" s="1"/>
      <c r="AB587" s="1"/>
      <c r="AC587" s="1"/>
      <c r="AD587" s="23"/>
      <c r="AE587" s="1"/>
      <c r="AF587" s="23"/>
      <c r="AG587" s="23"/>
      <c r="AH587" s="1"/>
      <c r="AI587" s="23"/>
      <c r="AJ587" s="23"/>
      <c r="AK587" s="1"/>
      <c r="AL587" s="1"/>
      <c r="AM587" s="1"/>
      <c r="AN587" s="1"/>
      <c r="AO587" s="23"/>
      <c r="AP587" s="1"/>
      <c r="AQ587" s="23"/>
      <c r="AR587" s="23"/>
      <c r="AS587" s="1"/>
      <c r="AX587" s="1"/>
      <c r="AY587" s="23"/>
      <c r="AZ587" s="1"/>
      <c r="BA587" s="23"/>
      <c r="BB587" s="23"/>
      <c r="BC587" s="1"/>
    </row>
    <row r="588" spans="1:55" x14ac:dyDescent="0.25">
      <c r="A588" s="1"/>
      <c r="B588" s="1"/>
      <c r="C588" s="1"/>
      <c r="D588" s="1"/>
      <c r="E588" s="1"/>
      <c r="F588" s="1"/>
      <c r="G588" s="1"/>
      <c r="H588" s="1"/>
      <c r="I588" s="23"/>
      <c r="J588" s="1"/>
      <c r="K588" s="23"/>
      <c r="L588" s="23"/>
      <c r="M588" s="1"/>
      <c r="N588" s="23"/>
      <c r="O588" s="23"/>
      <c r="P588" s="1"/>
      <c r="Q588" s="1"/>
      <c r="R588" s="1"/>
      <c r="S588" s="23"/>
      <c r="T588" s="1"/>
      <c r="U588" s="23"/>
      <c r="V588" s="23"/>
      <c r="W588" s="1"/>
      <c r="X588" s="23"/>
      <c r="Y588" s="23"/>
      <c r="Z588" s="1"/>
      <c r="AA588" s="1"/>
      <c r="AB588" s="1"/>
      <c r="AC588" s="1"/>
      <c r="AD588" s="23"/>
      <c r="AE588" s="1"/>
      <c r="AF588" s="23"/>
      <c r="AG588" s="23"/>
      <c r="AH588" s="1"/>
      <c r="AI588" s="23"/>
      <c r="AJ588" s="23"/>
      <c r="AK588" s="1"/>
      <c r="AL588" s="1"/>
      <c r="AM588" s="1"/>
      <c r="AN588" s="1"/>
      <c r="AO588" s="23"/>
      <c r="AP588" s="1"/>
      <c r="AQ588" s="23"/>
      <c r="AR588" s="23"/>
      <c r="AS588" s="1"/>
      <c r="AX588" s="1"/>
      <c r="AY588" s="23"/>
      <c r="AZ588" s="1"/>
      <c r="BA588" s="23"/>
      <c r="BB588" s="23"/>
      <c r="BC588" s="1"/>
    </row>
    <row r="589" spans="1:55" x14ac:dyDescent="0.25">
      <c r="A589" s="1"/>
      <c r="B589" s="1"/>
      <c r="C589" s="1"/>
      <c r="D589" s="1"/>
      <c r="E589" s="1"/>
      <c r="F589" s="1"/>
      <c r="G589" s="1"/>
      <c r="H589" s="1"/>
      <c r="I589" s="23"/>
      <c r="J589" s="1"/>
      <c r="K589" s="23"/>
      <c r="L589" s="23"/>
      <c r="M589" s="1"/>
      <c r="N589" s="23"/>
      <c r="O589" s="23"/>
      <c r="P589" s="1"/>
      <c r="Q589" s="1"/>
      <c r="R589" s="1"/>
      <c r="S589" s="23"/>
      <c r="T589" s="1"/>
      <c r="U589" s="23"/>
      <c r="V589" s="23"/>
      <c r="W589" s="1"/>
      <c r="X589" s="23"/>
      <c r="Y589" s="23"/>
      <c r="Z589" s="1"/>
      <c r="AA589" s="1"/>
      <c r="AB589" s="1"/>
      <c r="AC589" s="1"/>
      <c r="AD589" s="23"/>
      <c r="AE589" s="1"/>
      <c r="AF589" s="23"/>
      <c r="AG589" s="23"/>
      <c r="AH589" s="1"/>
      <c r="AI589" s="23"/>
      <c r="AJ589" s="23"/>
      <c r="AK589" s="1"/>
      <c r="AL589" s="1"/>
      <c r="AM589" s="1"/>
      <c r="AN589" s="1"/>
      <c r="AO589" s="23"/>
      <c r="AP589" s="1"/>
      <c r="AQ589" s="23"/>
      <c r="AR589" s="23"/>
      <c r="AS589" s="1"/>
      <c r="AX589" s="1"/>
      <c r="AY589" s="23"/>
      <c r="AZ589" s="1"/>
      <c r="BA589" s="23"/>
      <c r="BB589" s="23"/>
      <c r="BC589" s="1"/>
    </row>
    <row r="590" spans="1:55" x14ac:dyDescent="0.25">
      <c r="A590" s="1"/>
      <c r="B590" s="1"/>
      <c r="C590" s="1"/>
      <c r="D590" s="1"/>
      <c r="E590" s="1"/>
      <c r="F590" s="1"/>
      <c r="G590" s="1"/>
      <c r="H590" s="1"/>
      <c r="I590" s="23"/>
      <c r="J590" s="1"/>
      <c r="K590" s="23"/>
      <c r="L590" s="23"/>
      <c r="M590" s="1"/>
      <c r="N590" s="23"/>
      <c r="O590" s="23"/>
      <c r="P590" s="1"/>
      <c r="Q590" s="1"/>
      <c r="R590" s="1"/>
      <c r="S590" s="23"/>
      <c r="T590" s="1"/>
      <c r="U590" s="23"/>
      <c r="V590" s="23"/>
      <c r="W590" s="1"/>
      <c r="X590" s="23"/>
      <c r="Y590" s="23"/>
      <c r="Z590" s="1"/>
      <c r="AA590" s="1"/>
      <c r="AB590" s="1"/>
      <c r="AC590" s="1"/>
      <c r="AD590" s="23"/>
      <c r="AE590" s="1"/>
      <c r="AF590" s="23"/>
      <c r="AG590" s="23"/>
      <c r="AH590" s="1"/>
      <c r="AI590" s="23"/>
      <c r="AJ590" s="23"/>
      <c r="AK590" s="1"/>
      <c r="AL590" s="1"/>
      <c r="AM590" s="1"/>
      <c r="AN590" s="1"/>
      <c r="AO590" s="23"/>
      <c r="AP590" s="1"/>
      <c r="AQ590" s="23"/>
      <c r="AR590" s="23"/>
      <c r="AS590" s="1"/>
      <c r="AX590" s="1"/>
      <c r="AY590" s="23"/>
      <c r="AZ590" s="1"/>
      <c r="BA590" s="23"/>
      <c r="BB590" s="23"/>
      <c r="BC590" s="1"/>
    </row>
    <row r="591" spans="1:55" x14ac:dyDescent="0.25">
      <c r="A591" s="1"/>
      <c r="B591" s="1"/>
      <c r="C591" s="1"/>
      <c r="D591" s="1"/>
      <c r="E591" s="1"/>
      <c r="F591" s="1"/>
      <c r="G591" s="1"/>
      <c r="H591" s="1"/>
      <c r="I591" s="23"/>
      <c r="J591" s="1"/>
      <c r="K591" s="23"/>
      <c r="L591" s="23"/>
      <c r="M591" s="1"/>
      <c r="N591" s="23"/>
      <c r="O591" s="23"/>
      <c r="P591" s="1"/>
      <c r="Q591" s="1"/>
      <c r="R591" s="1"/>
      <c r="S591" s="23"/>
      <c r="T591" s="1"/>
      <c r="U591" s="23"/>
      <c r="V591" s="23"/>
      <c r="W591" s="1"/>
      <c r="X591" s="23"/>
      <c r="Y591" s="23"/>
      <c r="Z591" s="1"/>
      <c r="AA591" s="1"/>
      <c r="AB591" s="1"/>
      <c r="AC591" s="1"/>
      <c r="AD591" s="23"/>
      <c r="AE591" s="1"/>
      <c r="AF591" s="23"/>
      <c r="AG591" s="23"/>
      <c r="AH591" s="1"/>
      <c r="AI591" s="23"/>
      <c r="AJ591" s="23"/>
      <c r="AK591" s="1"/>
      <c r="AL591" s="1"/>
      <c r="AM591" s="1"/>
      <c r="AN591" s="1"/>
      <c r="AO591" s="23"/>
      <c r="AP591" s="1"/>
      <c r="AQ591" s="23"/>
      <c r="AR591" s="23"/>
      <c r="AS591" s="1"/>
      <c r="AX591" s="1"/>
      <c r="AY591" s="23"/>
      <c r="AZ591" s="1"/>
      <c r="BA591" s="23"/>
      <c r="BB591" s="23"/>
      <c r="BC591" s="1"/>
    </row>
    <row r="592" spans="1:55" x14ac:dyDescent="0.25">
      <c r="A592" s="1"/>
      <c r="B592" s="1"/>
      <c r="C592" s="1"/>
      <c r="D592" s="1"/>
      <c r="E592" s="1"/>
      <c r="F592" s="1"/>
      <c r="G592" s="1"/>
      <c r="H592" s="1"/>
      <c r="I592" s="23"/>
      <c r="J592" s="1"/>
      <c r="K592" s="23"/>
      <c r="L592" s="23"/>
      <c r="M592" s="1"/>
      <c r="N592" s="23"/>
      <c r="O592" s="23"/>
      <c r="P592" s="1"/>
      <c r="Q592" s="1"/>
      <c r="R592" s="1"/>
      <c r="S592" s="23"/>
      <c r="T592" s="1"/>
      <c r="U592" s="23"/>
      <c r="V592" s="23"/>
      <c r="W592" s="1"/>
      <c r="X592" s="23"/>
      <c r="Y592" s="23"/>
      <c r="Z592" s="1"/>
      <c r="AA592" s="1"/>
      <c r="AB592" s="1"/>
      <c r="AC592" s="1"/>
      <c r="AD592" s="23"/>
      <c r="AE592" s="1"/>
      <c r="AF592" s="23"/>
      <c r="AG592" s="23"/>
      <c r="AH592" s="1"/>
      <c r="AI592" s="23"/>
      <c r="AJ592" s="23"/>
      <c r="AK592" s="1"/>
      <c r="AL592" s="1"/>
      <c r="AM592" s="1"/>
      <c r="AN592" s="1"/>
      <c r="AO592" s="23"/>
      <c r="AP592" s="1"/>
      <c r="AQ592" s="23"/>
      <c r="AR592" s="23"/>
      <c r="AS592" s="1"/>
      <c r="AX592" s="1"/>
      <c r="AY592" s="23"/>
      <c r="AZ592" s="1"/>
      <c r="BA592" s="23"/>
      <c r="BB592" s="23"/>
      <c r="BC592" s="1"/>
    </row>
    <row r="593" spans="1:55" x14ac:dyDescent="0.25">
      <c r="A593" s="1"/>
      <c r="B593" s="1"/>
      <c r="C593" s="1"/>
      <c r="D593" s="1"/>
      <c r="E593" s="1"/>
      <c r="F593" s="1"/>
      <c r="G593" s="1"/>
      <c r="H593" s="1"/>
      <c r="I593" s="23"/>
      <c r="J593" s="1"/>
      <c r="K593" s="23"/>
      <c r="L593" s="23"/>
      <c r="M593" s="1"/>
      <c r="N593" s="23"/>
      <c r="O593" s="23"/>
      <c r="P593" s="1"/>
      <c r="Q593" s="1"/>
      <c r="R593" s="1"/>
      <c r="S593" s="23"/>
      <c r="T593" s="1"/>
      <c r="U593" s="23"/>
      <c r="V593" s="23"/>
      <c r="W593" s="1"/>
      <c r="X593" s="23"/>
      <c r="Y593" s="23"/>
      <c r="Z593" s="1"/>
      <c r="AA593" s="1"/>
      <c r="AB593" s="1"/>
      <c r="AC593" s="1"/>
      <c r="AD593" s="23"/>
      <c r="AE593" s="1"/>
      <c r="AF593" s="23"/>
      <c r="AG593" s="23"/>
      <c r="AH593" s="1"/>
      <c r="AI593" s="23"/>
      <c r="AJ593" s="23"/>
      <c r="AK593" s="1"/>
      <c r="AL593" s="1"/>
      <c r="AM593" s="1"/>
      <c r="AN593" s="1"/>
      <c r="AO593" s="23"/>
      <c r="AP593" s="1"/>
      <c r="AQ593" s="23"/>
      <c r="AR593" s="23"/>
      <c r="AS593" s="1"/>
      <c r="AX593" s="1"/>
      <c r="AY593" s="23"/>
      <c r="AZ593" s="1"/>
      <c r="BA593" s="23"/>
      <c r="BB593" s="23"/>
      <c r="BC593" s="1"/>
    </row>
    <row r="594" spans="1:55" x14ac:dyDescent="0.25">
      <c r="A594" s="1"/>
      <c r="B594" s="1"/>
      <c r="C594" s="1"/>
      <c r="D594" s="1"/>
      <c r="E594" s="1"/>
      <c r="F594" s="1"/>
      <c r="G594" s="1"/>
      <c r="H594" s="1"/>
      <c r="I594" s="23"/>
      <c r="J594" s="1"/>
      <c r="K594" s="23"/>
      <c r="L594" s="23"/>
      <c r="M594" s="1"/>
      <c r="N594" s="23"/>
      <c r="O594" s="23"/>
      <c r="P594" s="1"/>
      <c r="Q594" s="1"/>
      <c r="R594" s="1"/>
      <c r="S594" s="23"/>
      <c r="T594" s="1"/>
      <c r="U594" s="23"/>
      <c r="V594" s="23"/>
      <c r="W594" s="1"/>
      <c r="X594" s="23"/>
      <c r="Y594" s="23"/>
      <c r="Z594" s="1"/>
      <c r="AA594" s="1"/>
      <c r="AB594" s="1"/>
      <c r="AC594" s="1"/>
      <c r="AD594" s="23"/>
      <c r="AE594" s="1"/>
      <c r="AF594" s="23"/>
      <c r="AG594" s="23"/>
      <c r="AH594" s="1"/>
      <c r="AI594" s="23"/>
      <c r="AJ594" s="23"/>
      <c r="AK594" s="1"/>
      <c r="AL594" s="1"/>
      <c r="AM594" s="1"/>
      <c r="AN594" s="1"/>
      <c r="AO594" s="23"/>
      <c r="AP594" s="1"/>
      <c r="AQ594" s="23"/>
      <c r="AR594" s="23"/>
      <c r="AS594" s="1"/>
      <c r="AX594" s="1"/>
      <c r="AY594" s="23"/>
      <c r="AZ594" s="1"/>
      <c r="BA594" s="23"/>
      <c r="BB594" s="23"/>
      <c r="BC594" s="1"/>
    </row>
    <row r="595" spans="1:55" x14ac:dyDescent="0.25">
      <c r="A595" s="1"/>
      <c r="B595" s="1"/>
      <c r="C595" s="1"/>
      <c r="D595" s="1"/>
      <c r="E595" s="1"/>
      <c r="F595" s="1"/>
      <c r="G595" s="1"/>
      <c r="H595" s="1"/>
      <c r="I595" s="23"/>
      <c r="J595" s="1"/>
      <c r="K595" s="23"/>
      <c r="L595" s="23"/>
      <c r="M595" s="1"/>
      <c r="N595" s="23"/>
      <c r="O595" s="23"/>
      <c r="P595" s="1"/>
      <c r="Q595" s="1"/>
      <c r="R595" s="1"/>
      <c r="S595" s="23"/>
      <c r="T595" s="1"/>
      <c r="U595" s="23"/>
      <c r="V595" s="23"/>
      <c r="W595" s="1"/>
      <c r="X595" s="23"/>
      <c r="Y595" s="23"/>
      <c r="Z595" s="1"/>
      <c r="AA595" s="1"/>
      <c r="AB595" s="1"/>
      <c r="AC595" s="1"/>
      <c r="AD595" s="23"/>
      <c r="AE595" s="1"/>
      <c r="AF595" s="23"/>
      <c r="AG595" s="23"/>
      <c r="AH595" s="1"/>
      <c r="AI595" s="23"/>
      <c r="AJ595" s="23"/>
      <c r="AK595" s="1"/>
      <c r="AL595" s="1"/>
      <c r="AM595" s="1"/>
      <c r="AN595" s="1"/>
      <c r="AO595" s="23"/>
      <c r="AP595" s="1"/>
      <c r="AQ595" s="23"/>
      <c r="AR595" s="23"/>
      <c r="AS595" s="1"/>
      <c r="AX595" s="1"/>
      <c r="AY595" s="23"/>
      <c r="AZ595" s="1"/>
      <c r="BA595" s="23"/>
      <c r="BB595" s="23"/>
      <c r="BC595" s="1"/>
    </row>
    <row r="596" spans="1:55" x14ac:dyDescent="0.25">
      <c r="A596" s="1"/>
      <c r="B596" s="1"/>
      <c r="C596" s="1"/>
      <c r="D596" s="1"/>
      <c r="E596" s="1"/>
      <c r="F596" s="1"/>
      <c r="G596" s="1"/>
      <c r="H596" s="1"/>
      <c r="I596" s="23"/>
      <c r="J596" s="1"/>
      <c r="K596" s="23"/>
      <c r="L596" s="23"/>
      <c r="M596" s="1"/>
      <c r="N596" s="23"/>
      <c r="O596" s="23"/>
      <c r="P596" s="1"/>
      <c r="Q596" s="1"/>
      <c r="R596" s="1"/>
      <c r="S596" s="23"/>
      <c r="T596" s="1"/>
      <c r="U596" s="23"/>
      <c r="V596" s="23"/>
      <c r="W596" s="1"/>
      <c r="X596" s="23"/>
      <c r="Y596" s="23"/>
      <c r="Z596" s="1"/>
      <c r="AA596" s="1"/>
      <c r="AB596" s="1"/>
      <c r="AC596" s="1"/>
      <c r="AD596" s="23"/>
      <c r="AE596" s="1"/>
      <c r="AF596" s="23"/>
      <c r="AG596" s="23"/>
      <c r="AH596" s="1"/>
      <c r="AI596" s="23"/>
      <c r="AJ596" s="23"/>
      <c r="AK596" s="1"/>
      <c r="AL596" s="1"/>
      <c r="AM596" s="1"/>
      <c r="AN596" s="1"/>
      <c r="AO596" s="23"/>
      <c r="AP596" s="1"/>
      <c r="AQ596" s="23"/>
      <c r="AR596" s="23"/>
      <c r="AS596" s="1"/>
      <c r="AX596" s="1"/>
      <c r="AY596" s="23"/>
      <c r="AZ596" s="1"/>
      <c r="BA596" s="23"/>
      <c r="BB596" s="23"/>
      <c r="BC596" s="1"/>
    </row>
    <row r="597" spans="1:55" x14ac:dyDescent="0.25">
      <c r="A597" s="1"/>
      <c r="B597" s="1"/>
      <c r="C597" s="1"/>
      <c r="D597" s="1"/>
      <c r="E597" s="1"/>
      <c r="F597" s="1"/>
      <c r="G597" s="1"/>
      <c r="H597" s="1"/>
      <c r="I597" s="23"/>
      <c r="J597" s="1"/>
      <c r="K597" s="23"/>
      <c r="L597" s="23"/>
      <c r="M597" s="1"/>
      <c r="N597" s="23"/>
      <c r="O597" s="23"/>
      <c r="P597" s="1"/>
      <c r="Q597" s="1"/>
      <c r="R597" s="1"/>
      <c r="S597" s="23"/>
      <c r="T597" s="1"/>
      <c r="U597" s="23"/>
      <c r="V597" s="23"/>
      <c r="W597" s="1"/>
      <c r="X597" s="23"/>
      <c r="Y597" s="23"/>
      <c r="Z597" s="1"/>
      <c r="AA597" s="1"/>
      <c r="AB597" s="1"/>
      <c r="AC597" s="1"/>
      <c r="AD597" s="23"/>
      <c r="AE597" s="1"/>
      <c r="AF597" s="23"/>
      <c r="AG597" s="23"/>
      <c r="AH597" s="1"/>
      <c r="AI597" s="23"/>
      <c r="AJ597" s="23"/>
      <c r="AK597" s="1"/>
      <c r="AL597" s="1"/>
      <c r="AM597" s="1"/>
      <c r="AN597" s="1"/>
      <c r="AO597" s="23"/>
      <c r="AP597" s="1"/>
      <c r="AQ597" s="23"/>
      <c r="AR597" s="23"/>
      <c r="AS597" s="1"/>
      <c r="AX597" s="1"/>
      <c r="AY597" s="23"/>
      <c r="AZ597" s="1"/>
      <c r="BA597" s="23"/>
      <c r="BB597" s="23"/>
      <c r="BC597" s="1"/>
    </row>
    <row r="598" spans="1:55" x14ac:dyDescent="0.25">
      <c r="A598" s="1"/>
      <c r="B598" s="1"/>
      <c r="C598" s="1"/>
      <c r="D598" s="1"/>
      <c r="E598" s="1"/>
      <c r="F598" s="1"/>
      <c r="G598" s="1"/>
      <c r="H598" s="1"/>
      <c r="I598" s="23"/>
      <c r="J598" s="1"/>
      <c r="K598" s="23"/>
      <c r="L598" s="23"/>
      <c r="M598" s="1"/>
      <c r="N598" s="23"/>
      <c r="O598" s="23"/>
      <c r="P598" s="1"/>
      <c r="Q598" s="1"/>
      <c r="R598" s="1"/>
      <c r="S598" s="23"/>
      <c r="T598" s="1"/>
      <c r="U598" s="23"/>
      <c r="V598" s="23"/>
      <c r="W598" s="1"/>
      <c r="X598" s="23"/>
      <c r="Y598" s="23"/>
      <c r="Z598" s="1"/>
      <c r="AA598" s="1"/>
      <c r="AB598" s="1"/>
      <c r="AC598" s="1"/>
      <c r="AD598" s="23"/>
      <c r="AE598" s="1"/>
      <c r="AF598" s="23"/>
      <c r="AG598" s="23"/>
      <c r="AH598" s="1"/>
      <c r="AI598" s="23"/>
      <c r="AJ598" s="23"/>
      <c r="AK598" s="1"/>
      <c r="AL598" s="1"/>
      <c r="AM598" s="1"/>
      <c r="AN598" s="1"/>
      <c r="AO598" s="23"/>
      <c r="AP598" s="1"/>
      <c r="AQ598" s="23"/>
      <c r="AR598" s="23"/>
      <c r="AS598" s="1"/>
      <c r="AX598" s="1"/>
      <c r="AY598" s="23"/>
      <c r="AZ598" s="1"/>
      <c r="BA598" s="23"/>
      <c r="BB598" s="23"/>
      <c r="BC598" s="1"/>
    </row>
    <row r="599" spans="1:55" x14ac:dyDescent="0.25">
      <c r="A599" s="1"/>
      <c r="B599" s="1"/>
      <c r="C599" s="1"/>
      <c r="D599" s="1"/>
      <c r="E599" s="1"/>
      <c r="F599" s="1"/>
      <c r="G599" s="1"/>
      <c r="H599" s="1"/>
      <c r="I599" s="23"/>
      <c r="J599" s="1"/>
      <c r="K599" s="23"/>
      <c r="L599" s="23"/>
      <c r="M599" s="1"/>
      <c r="N599" s="23"/>
      <c r="O599" s="23"/>
      <c r="P599" s="1"/>
      <c r="Q599" s="1"/>
      <c r="R599" s="1"/>
      <c r="S599" s="23"/>
      <c r="T599" s="1"/>
      <c r="U599" s="23"/>
      <c r="V599" s="23"/>
      <c r="W599" s="1"/>
      <c r="X599" s="23"/>
      <c r="Y599" s="23"/>
      <c r="Z599" s="1"/>
      <c r="AA599" s="1"/>
      <c r="AB599" s="1"/>
      <c r="AC599" s="1"/>
      <c r="AD599" s="23"/>
      <c r="AE599" s="1"/>
      <c r="AF599" s="23"/>
      <c r="AG599" s="23"/>
      <c r="AH599" s="1"/>
      <c r="AI599" s="23"/>
      <c r="AJ599" s="23"/>
      <c r="AK599" s="1"/>
      <c r="AL599" s="1"/>
      <c r="AM599" s="1"/>
      <c r="AN599" s="1"/>
      <c r="AO599" s="23"/>
      <c r="AP599" s="1"/>
      <c r="AQ599" s="23"/>
      <c r="AR599" s="23"/>
      <c r="AS599" s="1"/>
      <c r="AX599" s="1"/>
      <c r="AY599" s="23"/>
      <c r="AZ599" s="1"/>
      <c r="BA599" s="23"/>
      <c r="BB599" s="23"/>
      <c r="BC599" s="1"/>
    </row>
    <row r="600" spans="1:55" x14ac:dyDescent="0.25">
      <c r="A600" s="1"/>
      <c r="B600" s="1"/>
      <c r="C600" s="1"/>
      <c r="D600" s="1"/>
      <c r="E600" s="1"/>
      <c r="F600" s="1"/>
      <c r="G600" s="1"/>
      <c r="H600" s="1"/>
      <c r="I600" s="23"/>
      <c r="J600" s="1"/>
      <c r="K600" s="23"/>
      <c r="L600" s="23"/>
      <c r="M600" s="1"/>
      <c r="N600" s="23"/>
      <c r="O600" s="23"/>
      <c r="P600" s="1"/>
      <c r="Q600" s="1"/>
      <c r="R600" s="1"/>
      <c r="S600" s="23"/>
      <c r="T600" s="1"/>
      <c r="U600" s="23"/>
      <c r="V600" s="23"/>
      <c r="W600" s="1"/>
      <c r="X600" s="23"/>
      <c r="Y600" s="23"/>
      <c r="Z600" s="1"/>
      <c r="AA600" s="1"/>
      <c r="AB600" s="1"/>
      <c r="AC600" s="1"/>
      <c r="AD600" s="23"/>
      <c r="AE600" s="1"/>
      <c r="AF600" s="23"/>
      <c r="AG600" s="23"/>
      <c r="AH600" s="1"/>
      <c r="AI600" s="23"/>
      <c r="AJ600" s="23"/>
      <c r="AK600" s="1"/>
      <c r="AL600" s="1"/>
      <c r="AM600" s="1"/>
      <c r="AN600" s="1"/>
      <c r="AO600" s="23"/>
      <c r="AP600" s="1"/>
      <c r="AQ600" s="23"/>
      <c r="AR600" s="23"/>
      <c r="AS600" s="1"/>
      <c r="AX600" s="1"/>
      <c r="AY600" s="23"/>
      <c r="AZ600" s="1"/>
      <c r="BA600" s="23"/>
      <c r="BB600" s="23"/>
      <c r="BC600" s="1"/>
    </row>
    <row r="601" spans="1:55" x14ac:dyDescent="0.25">
      <c r="A601" s="1"/>
      <c r="B601" s="1"/>
      <c r="C601" s="1"/>
      <c r="D601" s="1"/>
      <c r="E601" s="1"/>
      <c r="F601" s="1"/>
      <c r="G601" s="1"/>
      <c r="H601" s="1"/>
      <c r="I601" s="23"/>
      <c r="J601" s="1"/>
      <c r="K601" s="23"/>
      <c r="L601" s="23"/>
      <c r="M601" s="1"/>
      <c r="N601" s="23"/>
      <c r="O601" s="23"/>
      <c r="P601" s="1"/>
      <c r="Q601" s="1"/>
      <c r="R601" s="1"/>
      <c r="S601" s="23"/>
      <c r="T601" s="1"/>
      <c r="U601" s="23"/>
      <c r="V601" s="23"/>
      <c r="W601" s="1"/>
      <c r="X601" s="23"/>
      <c r="Y601" s="23"/>
      <c r="Z601" s="1"/>
      <c r="AA601" s="1"/>
      <c r="AB601" s="1"/>
      <c r="AC601" s="1"/>
      <c r="AD601" s="23"/>
      <c r="AE601" s="1"/>
      <c r="AF601" s="23"/>
      <c r="AG601" s="23"/>
      <c r="AH601" s="1"/>
      <c r="AI601" s="23"/>
      <c r="AJ601" s="23"/>
      <c r="AK601" s="1"/>
      <c r="AL601" s="1"/>
      <c r="AM601" s="1"/>
      <c r="AN601" s="1"/>
      <c r="AO601" s="23"/>
      <c r="AP601" s="1"/>
      <c r="AQ601" s="23"/>
      <c r="AR601" s="23"/>
      <c r="AS601" s="1"/>
      <c r="AX601" s="1"/>
      <c r="AY601" s="23"/>
      <c r="AZ601" s="1"/>
      <c r="BA601" s="23"/>
      <c r="BB601" s="23"/>
      <c r="BC601" s="1"/>
    </row>
    <row r="602" spans="1:55" x14ac:dyDescent="0.25">
      <c r="A602" s="1"/>
      <c r="B602" s="1"/>
      <c r="C602" s="1"/>
      <c r="D602" s="1"/>
      <c r="E602" s="1"/>
      <c r="F602" s="1"/>
      <c r="G602" s="1"/>
      <c r="H602" s="1"/>
      <c r="I602" s="23"/>
      <c r="J602" s="1"/>
      <c r="K602" s="23"/>
      <c r="L602" s="23"/>
      <c r="M602" s="1"/>
      <c r="N602" s="23"/>
      <c r="O602" s="23"/>
      <c r="P602" s="1"/>
      <c r="Q602" s="1"/>
      <c r="R602" s="1"/>
      <c r="S602" s="23"/>
      <c r="T602" s="1"/>
      <c r="U602" s="23"/>
      <c r="V602" s="23"/>
      <c r="W602" s="1"/>
      <c r="X602" s="23"/>
      <c r="Y602" s="23"/>
      <c r="Z602" s="1"/>
      <c r="AA602" s="1"/>
      <c r="AB602" s="1"/>
      <c r="AC602" s="1"/>
      <c r="AD602" s="23"/>
      <c r="AE602" s="1"/>
      <c r="AF602" s="23"/>
      <c r="AG602" s="23"/>
      <c r="AH602" s="1"/>
      <c r="AI602" s="23"/>
      <c r="AJ602" s="23"/>
      <c r="AK602" s="1"/>
      <c r="AL602" s="1"/>
      <c r="AM602" s="1"/>
      <c r="AN602" s="1"/>
      <c r="AO602" s="23"/>
      <c r="AP602" s="1"/>
      <c r="AQ602" s="23"/>
      <c r="AR602" s="23"/>
      <c r="AS602" s="1"/>
      <c r="AX602" s="1"/>
      <c r="AY602" s="23"/>
      <c r="AZ602" s="1"/>
      <c r="BA602" s="23"/>
      <c r="BB602" s="23"/>
      <c r="BC602" s="1"/>
    </row>
    <row r="603" spans="1:55" x14ac:dyDescent="0.25">
      <c r="A603" s="1"/>
      <c r="B603" s="1"/>
      <c r="C603" s="1"/>
      <c r="D603" s="1"/>
      <c r="E603" s="1"/>
      <c r="F603" s="1"/>
      <c r="G603" s="1"/>
      <c r="H603" s="1"/>
      <c r="I603" s="23"/>
      <c r="J603" s="1"/>
      <c r="K603" s="23"/>
      <c r="L603" s="23"/>
      <c r="M603" s="1"/>
      <c r="N603" s="23"/>
      <c r="O603" s="23"/>
      <c r="P603" s="1"/>
      <c r="Q603" s="1"/>
      <c r="R603" s="1"/>
      <c r="S603" s="23"/>
      <c r="T603" s="1"/>
      <c r="U603" s="23"/>
      <c r="V603" s="23"/>
      <c r="W603" s="1"/>
      <c r="X603" s="23"/>
      <c r="Y603" s="23"/>
      <c r="Z603" s="1"/>
      <c r="AA603" s="1"/>
      <c r="AB603" s="1"/>
      <c r="AC603" s="1"/>
      <c r="AD603" s="23"/>
      <c r="AE603" s="1"/>
      <c r="AF603" s="23"/>
      <c r="AG603" s="23"/>
      <c r="AH603" s="1"/>
      <c r="AI603" s="23"/>
      <c r="AJ603" s="23"/>
      <c r="AK603" s="1"/>
      <c r="AL603" s="1"/>
      <c r="AM603" s="1"/>
      <c r="AN603" s="1"/>
      <c r="AO603" s="23"/>
      <c r="AP603" s="1"/>
      <c r="AQ603" s="23"/>
      <c r="AR603" s="23"/>
      <c r="AS603" s="1"/>
      <c r="AX603" s="1"/>
      <c r="AY603" s="23"/>
      <c r="AZ603" s="1"/>
      <c r="BA603" s="23"/>
      <c r="BB603" s="23"/>
      <c r="BC603" s="1"/>
    </row>
    <row r="604" spans="1:55" x14ac:dyDescent="0.25">
      <c r="A604" s="1"/>
      <c r="B604" s="1"/>
      <c r="C604" s="1"/>
      <c r="D604" s="1"/>
      <c r="E604" s="1"/>
      <c r="F604" s="1"/>
      <c r="G604" s="1"/>
      <c r="H604" s="1"/>
      <c r="I604" s="23"/>
      <c r="J604" s="1"/>
      <c r="K604" s="23"/>
      <c r="L604" s="23"/>
      <c r="M604" s="1"/>
      <c r="N604" s="23"/>
      <c r="O604" s="23"/>
      <c r="P604" s="1"/>
      <c r="Q604" s="1"/>
      <c r="R604" s="1"/>
      <c r="S604" s="23"/>
      <c r="T604" s="1"/>
      <c r="U604" s="23"/>
      <c r="V604" s="23"/>
      <c r="W604" s="1"/>
      <c r="X604" s="23"/>
      <c r="Y604" s="23"/>
      <c r="Z604" s="1"/>
      <c r="AA604" s="1"/>
      <c r="AB604" s="1"/>
      <c r="AC604" s="1"/>
      <c r="AD604" s="23"/>
      <c r="AE604" s="1"/>
      <c r="AF604" s="23"/>
      <c r="AG604" s="23"/>
      <c r="AH604" s="1"/>
      <c r="AI604" s="23"/>
      <c r="AJ604" s="23"/>
      <c r="AK604" s="1"/>
      <c r="AL604" s="1"/>
      <c r="AM604" s="1"/>
      <c r="AN604" s="1"/>
      <c r="AO604" s="23"/>
      <c r="AP604" s="1"/>
      <c r="AQ604" s="23"/>
      <c r="AR604" s="23"/>
      <c r="AS604" s="1"/>
      <c r="AX604" s="1"/>
      <c r="AY604" s="23"/>
      <c r="AZ604" s="1"/>
      <c r="BA604" s="23"/>
      <c r="BB604" s="23"/>
      <c r="BC604" s="1"/>
    </row>
    <row r="605" spans="1:55" x14ac:dyDescent="0.25">
      <c r="A605" s="1"/>
      <c r="B605" s="1"/>
      <c r="C605" s="1"/>
      <c r="D605" s="1"/>
      <c r="E605" s="1"/>
      <c r="F605" s="1"/>
      <c r="G605" s="1"/>
      <c r="H605" s="1"/>
      <c r="I605" s="23"/>
      <c r="J605" s="1"/>
      <c r="K605" s="23"/>
      <c r="L605" s="23"/>
      <c r="M605" s="1"/>
      <c r="N605" s="23"/>
      <c r="O605" s="23"/>
      <c r="P605" s="1"/>
      <c r="Q605" s="1"/>
      <c r="R605" s="1"/>
      <c r="S605" s="23"/>
      <c r="T605" s="1"/>
      <c r="U605" s="23"/>
      <c r="V605" s="23"/>
      <c r="W605" s="1"/>
      <c r="X605" s="23"/>
      <c r="Y605" s="23"/>
      <c r="Z605" s="1"/>
      <c r="AA605" s="1"/>
      <c r="AB605" s="1"/>
      <c r="AC605" s="1"/>
      <c r="AD605" s="23"/>
      <c r="AE605" s="1"/>
      <c r="AF605" s="23"/>
      <c r="AG605" s="23"/>
      <c r="AH605" s="1"/>
      <c r="AI605" s="23"/>
      <c r="AJ605" s="23"/>
      <c r="AK605" s="1"/>
      <c r="AL605" s="1"/>
      <c r="AM605" s="1"/>
      <c r="AN605" s="1"/>
      <c r="AO605" s="23"/>
      <c r="AP605" s="1"/>
      <c r="AQ605" s="23"/>
      <c r="AR605" s="23"/>
      <c r="AS605" s="1"/>
      <c r="AX605" s="1"/>
      <c r="AY605" s="23"/>
      <c r="AZ605" s="1"/>
      <c r="BA605" s="23"/>
      <c r="BB605" s="23"/>
      <c r="BC605" s="1"/>
    </row>
    <row r="606" spans="1:55" x14ac:dyDescent="0.25">
      <c r="A606" s="1"/>
      <c r="B606" s="1"/>
      <c r="C606" s="1"/>
      <c r="D606" s="1"/>
      <c r="E606" s="1"/>
      <c r="F606" s="1"/>
      <c r="G606" s="1"/>
      <c r="H606" s="1"/>
      <c r="I606" s="23"/>
      <c r="J606" s="1"/>
      <c r="K606" s="23"/>
      <c r="L606" s="23"/>
      <c r="M606" s="1"/>
      <c r="N606" s="23"/>
      <c r="O606" s="23"/>
      <c r="P606" s="1"/>
      <c r="Q606" s="1"/>
      <c r="R606" s="1"/>
      <c r="S606" s="23"/>
      <c r="T606" s="1"/>
      <c r="U606" s="23"/>
      <c r="V606" s="23"/>
      <c r="W606" s="1"/>
      <c r="X606" s="23"/>
      <c r="Y606" s="23"/>
      <c r="Z606" s="1"/>
      <c r="AA606" s="1"/>
      <c r="AB606" s="1"/>
      <c r="AC606" s="1"/>
      <c r="AD606" s="23"/>
      <c r="AE606" s="1"/>
      <c r="AF606" s="23"/>
      <c r="AG606" s="23"/>
      <c r="AH606" s="1"/>
      <c r="AI606" s="23"/>
      <c r="AJ606" s="23"/>
      <c r="AK606" s="1"/>
      <c r="AL606" s="1"/>
      <c r="AM606" s="1"/>
      <c r="AN606" s="1"/>
      <c r="AO606" s="23"/>
      <c r="AP606" s="1"/>
      <c r="AQ606" s="23"/>
      <c r="AR606" s="23"/>
      <c r="AS606" s="1"/>
      <c r="AX606" s="1"/>
      <c r="AY606" s="23"/>
      <c r="AZ606" s="1"/>
      <c r="BA606" s="23"/>
      <c r="BB606" s="23"/>
      <c r="BC606" s="1"/>
    </row>
    <row r="607" spans="1:55" x14ac:dyDescent="0.25">
      <c r="A607" s="1"/>
      <c r="B607" s="1"/>
      <c r="C607" s="1"/>
      <c r="D607" s="1"/>
      <c r="E607" s="1"/>
      <c r="F607" s="1"/>
      <c r="G607" s="1"/>
      <c r="H607" s="1"/>
      <c r="I607" s="23"/>
      <c r="J607" s="1"/>
      <c r="K607" s="23"/>
      <c r="L607" s="23"/>
      <c r="M607" s="1"/>
      <c r="N607" s="23"/>
      <c r="O607" s="23"/>
      <c r="P607" s="1"/>
      <c r="Q607" s="1"/>
      <c r="R607" s="1"/>
      <c r="S607" s="23"/>
      <c r="T607" s="1"/>
      <c r="U607" s="23"/>
      <c r="V607" s="23"/>
      <c r="W607" s="1"/>
      <c r="X607" s="23"/>
      <c r="Y607" s="23"/>
      <c r="Z607" s="1"/>
      <c r="AA607" s="1"/>
      <c r="AB607" s="1"/>
      <c r="AC607" s="1"/>
      <c r="AD607" s="23"/>
      <c r="AE607" s="1"/>
      <c r="AF607" s="23"/>
      <c r="AG607" s="23"/>
      <c r="AH607" s="1"/>
      <c r="AI607" s="23"/>
      <c r="AJ607" s="23"/>
      <c r="AK607" s="1"/>
      <c r="AL607" s="1"/>
      <c r="AM607" s="1"/>
      <c r="AN607" s="1"/>
      <c r="AO607" s="23"/>
      <c r="AP607" s="1"/>
      <c r="AQ607" s="23"/>
      <c r="AR607" s="23"/>
      <c r="AS607" s="1"/>
      <c r="AX607" s="1"/>
      <c r="AY607" s="23"/>
      <c r="AZ607" s="1"/>
      <c r="BA607" s="23"/>
      <c r="BB607" s="23"/>
      <c r="BC607" s="1"/>
    </row>
    <row r="608" spans="1:55" x14ac:dyDescent="0.25">
      <c r="A608" s="1"/>
      <c r="B608" s="1"/>
      <c r="C608" s="1"/>
      <c r="D608" s="1"/>
      <c r="E608" s="1"/>
      <c r="F608" s="1"/>
      <c r="G608" s="1"/>
      <c r="H608" s="1"/>
      <c r="I608" s="23"/>
      <c r="J608" s="1"/>
      <c r="K608" s="23"/>
      <c r="L608" s="23"/>
      <c r="M608" s="1"/>
      <c r="N608" s="23"/>
      <c r="O608" s="23"/>
      <c r="P608" s="1"/>
      <c r="Q608" s="1"/>
      <c r="R608" s="1"/>
      <c r="S608" s="23"/>
      <c r="T608" s="1"/>
      <c r="U608" s="23"/>
      <c r="V608" s="23"/>
      <c r="W608" s="1"/>
      <c r="X608" s="23"/>
      <c r="Y608" s="23"/>
      <c r="Z608" s="1"/>
      <c r="AA608" s="1"/>
      <c r="AB608" s="1"/>
      <c r="AC608" s="1"/>
      <c r="AD608" s="23"/>
      <c r="AE608" s="1"/>
      <c r="AF608" s="23"/>
      <c r="AG608" s="23"/>
      <c r="AH608" s="1"/>
      <c r="AI608" s="23"/>
      <c r="AJ608" s="23"/>
      <c r="AK608" s="1"/>
      <c r="AL608" s="1"/>
      <c r="AM608" s="1"/>
      <c r="AN608" s="1"/>
      <c r="AO608" s="23"/>
      <c r="AP608" s="1"/>
      <c r="AQ608" s="23"/>
      <c r="AR608" s="23"/>
      <c r="AS608" s="1"/>
      <c r="AX608" s="1"/>
      <c r="AY608" s="23"/>
      <c r="AZ608" s="1"/>
      <c r="BA608" s="23"/>
      <c r="BB608" s="23"/>
      <c r="BC608" s="1"/>
    </row>
    <row r="609" spans="1:55" x14ac:dyDescent="0.25">
      <c r="A609" s="1"/>
      <c r="B609" s="1"/>
      <c r="C609" s="1"/>
      <c r="D609" s="1"/>
      <c r="E609" s="1"/>
      <c r="F609" s="1"/>
      <c r="G609" s="1"/>
      <c r="H609" s="1"/>
      <c r="I609" s="23"/>
      <c r="J609" s="1"/>
      <c r="K609" s="23"/>
      <c r="L609" s="23"/>
      <c r="M609" s="1"/>
      <c r="N609" s="23"/>
      <c r="O609" s="23"/>
      <c r="P609" s="1"/>
      <c r="Q609" s="1"/>
      <c r="R609" s="1"/>
      <c r="S609" s="23"/>
      <c r="T609" s="1"/>
      <c r="U609" s="23"/>
      <c r="V609" s="23"/>
      <c r="W609" s="1"/>
      <c r="X609" s="23"/>
      <c r="Y609" s="23"/>
      <c r="Z609" s="1"/>
      <c r="AA609" s="1"/>
      <c r="AB609" s="1"/>
      <c r="AC609" s="1"/>
      <c r="AD609" s="23"/>
      <c r="AE609" s="1"/>
      <c r="AF609" s="23"/>
      <c r="AG609" s="23"/>
      <c r="AH609" s="1"/>
      <c r="AI609" s="23"/>
      <c r="AJ609" s="23"/>
      <c r="AK609" s="1"/>
      <c r="AL609" s="1"/>
      <c r="AM609" s="1"/>
      <c r="AN609" s="1"/>
      <c r="AO609" s="23"/>
      <c r="AP609" s="1"/>
      <c r="AQ609" s="23"/>
      <c r="AR609" s="23"/>
      <c r="AS609" s="1"/>
      <c r="AX609" s="1"/>
      <c r="AY609" s="23"/>
      <c r="AZ609" s="1"/>
      <c r="BA609" s="23"/>
      <c r="BB609" s="23"/>
      <c r="BC609" s="1"/>
    </row>
    <row r="610" spans="1:55" x14ac:dyDescent="0.25">
      <c r="A610" s="1"/>
      <c r="B610" s="1"/>
      <c r="C610" s="1"/>
      <c r="D610" s="1"/>
      <c r="E610" s="1"/>
      <c r="F610" s="1"/>
      <c r="G610" s="1"/>
      <c r="H610" s="1"/>
      <c r="I610" s="23"/>
      <c r="J610" s="1"/>
      <c r="K610" s="23"/>
      <c r="L610" s="23"/>
      <c r="M610" s="1"/>
      <c r="N610" s="23"/>
      <c r="O610" s="23"/>
      <c r="P610" s="1"/>
      <c r="Q610" s="1"/>
      <c r="R610" s="1"/>
      <c r="S610" s="23"/>
      <c r="T610" s="1"/>
      <c r="U610" s="23"/>
      <c r="V610" s="23"/>
      <c r="W610" s="1"/>
      <c r="X610" s="23"/>
      <c r="Y610" s="23"/>
      <c r="Z610" s="1"/>
      <c r="AA610" s="1"/>
      <c r="AB610" s="1"/>
      <c r="AC610" s="1"/>
      <c r="AD610" s="23"/>
      <c r="AE610" s="1"/>
      <c r="AF610" s="23"/>
      <c r="AG610" s="23"/>
      <c r="AH610" s="1"/>
      <c r="AI610" s="23"/>
      <c r="AJ610" s="23"/>
      <c r="AK610" s="1"/>
      <c r="AL610" s="1"/>
      <c r="AM610" s="1"/>
      <c r="AN610" s="1"/>
      <c r="AO610" s="23"/>
      <c r="AP610" s="1"/>
      <c r="AQ610" s="23"/>
      <c r="AR610" s="23"/>
      <c r="AS610" s="1"/>
      <c r="AX610" s="1"/>
      <c r="AY610" s="23"/>
      <c r="AZ610" s="1"/>
      <c r="BA610" s="23"/>
      <c r="BB610" s="23"/>
      <c r="BC610" s="1"/>
    </row>
    <row r="611" spans="1:55" x14ac:dyDescent="0.25">
      <c r="A611" s="1"/>
      <c r="B611" s="1"/>
      <c r="C611" s="1"/>
      <c r="D611" s="1"/>
      <c r="E611" s="1"/>
      <c r="F611" s="1"/>
      <c r="G611" s="1"/>
      <c r="H611" s="1"/>
      <c r="I611" s="23"/>
      <c r="J611" s="1"/>
      <c r="K611" s="23"/>
      <c r="L611" s="23"/>
      <c r="M611" s="1"/>
      <c r="N611" s="23"/>
      <c r="O611" s="23"/>
      <c r="P611" s="1"/>
      <c r="Q611" s="1"/>
      <c r="R611" s="1"/>
      <c r="S611" s="23"/>
      <c r="T611" s="1"/>
      <c r="U611" s="23"/>
      <c r="V611" s="23"/>
      <c r="W611" s="1"/>
      <c r="X611" s="23"/>
      <c r="Y611" s="23"/>
      <c r="Z611" s="1"/>
      <c r="AA611" s="1"/>
      <c r="AB611" s="1"/>
      <c r="AC611" s="1"/>
      <c r="AD611" s="23"/>
      <c r="AE611" s="1"/>
      <c r="AF611" s="23"/>
      <c r="AG611" s="23"/>
      <c r="AH611" s="1"/>
      <c r="AI611" s="23"/>
      <c r="AJ611" s="23"/>
      <c r="AK611" s="1"/>
      <c r="AL611" s="1"/>
      <c r="AM611" s="1"/>
      <c r="AN611" s="1"/>
      <c r="AO611" s="23"/>
      <c r="AP611" s="1"/>
      <c r="AQ611" s="23"/>
      <c r="AR611" s="23"/>
      <c r="AS611" s="1"/>
      <c r="AX611" s="1"/>
      <c r="AY611" s="23"/>
      <c r="AZ611" s="1"/>
      <c r="BA611" s="23"/>
      <c r="BB611" s="23"/>
      <c r="BC611" s="1"/>
    </row>
    <row r="612" spans="1:55" x14ac:dyDescent="0.25">
      <c r="A612" s="1"/>
      <c r="B612" s="1"/>
      <c r="C612" s="1"/>
      <c r="D612" s="1"/>
      <c r="E612" s="1"/>
      <c r="F612" s="1"/>
      <c r="G612" s="1"/>
      <c r="H612" s="1"/>
      <c r="I612" s="23"/>
      <c r="J612" s="1"/>
      <c r="K612" s="23"/>
      <c r="L612" s="23"/>
      <c r="M612" s="1"/>
      <c r="N612" s="23"/>
      <c r="O612" s="23"/>
      <c r="P612" s="1"/>
      <c r="Q612" s="1"/>
      <c r="R612" s="1"/>
      <c r="S612" s="23"/>
      <c r="T612" s="1"/>
      <c r="U612" s="23"/>
      <c r="V612" s="23"/>
      <c r="W612" s="1"/>
      <c r="X612" s="23"/>
      <c r="Y612" s="23"/>
      <c r="Z612" s="1"/>
      <c r="AA612" s="1"/>
      <c r="AB612" s="1"/>
      <c r="AC612" s="1"/>
      <c r="AD612" s="23"/>
      <c r="AE612" s="1"/>
      <c r="AF612" s="23"/>
      <c r="AG612" s="23"/>
      <c r="AH612" s="1"/>
      <c r="AI612" s="23"/>
      <c r="AJ612" s="23"/>
      <c r="AK612" s="1"/>
      <c r="AL612" s="1"/>
      <c r="AM612" s="1"/>
      <c r="AN612" s="1"/>
      <c r="AO612" s="23"/>
      <c r="AP612" s="1"/>
      <c r="AQ612" s="23"/>
      <c r="AR612" s="23"/>
      <c r="AS612" s="1"/>
      <c r="AX612" s="1"/>
      <c r="AY612" s="23"/>
      <c r="AZ612" s="1"/>
      <c r="BA612" s="23"/>
      <c r="BB612" s="23"/>
      <c r="BC612" s="1"/>
    </row>
    <row r="613" spans="1:55" x14ac:dyDescent="0.25">
      <c r="A613" s="1"/>
      <c r="B613" s="1"/>
      <c r="C613" s="1"/>
      <c r="D613" s="1"/>
      <c r="E613" s="1"/>
      <c r="F613" s="1"/>
      <c r="G613" s="1"/>
      <c r="H613" s="1"/>
      <c r="I613" s="23"/>
      <c r="J613" s="1"/>
      <c r="K613" s="23"/>
      <c r="L613" s="23"/>
      <c r="M613" s="1"/>
      <c r="N613" s="23"/>
      <c r="O613" s="23"/>
      <c r="P613" s="1"/>
      <c r="Q613" s="1"/>
      <c r="R613" s="1"/>
      <c r="S613" s="23"/>
      <c r="T613" s="1"/>
      <c r="U613" s="23"/>
      <c r="V613" s="23"/>
      <c r="W613" s="1"/>
      <c r="X613" s="23"/>
      <c r="Y613" s="23"/>
      <c r="Z613" s="1"/>
      <c r="AA613" s="1"/>
      <c r="AB613" s="1"/>
      <c r="AC613" s="1"/>
      <c r="AD613" s="23"/>
      <c r="AE613" s="1"/>
      <c r="AF613" s="23"/>
      <c r="AG613" s="23"/>
      <c r="AH613" s="1"/>
      <c r="AI613" s="23"/>
      <c r="AJ613" s="23"/>
      <c r="AK613" s="1"/>
      <c r="AL613" s="1"/>
      <c r="AM613" s="1"/>
      <c r="AN613" s="1"/>
      <c r="AO613" s="23"/>
      <c r="AP613" s="1"/>
      <c r="AQ613" s="23"/>
      <c r="AR613" s="23"/>
      <c r="AS613" s="1"/>
      <c r="AX613" s="1"/>
      <c r="AY613" s="23"/>
      <c r="AZ613" s="1"/>
      <c r="BA613" s="23"/>
      <c r="BB613" s="23"/>
      <c r="BC613" s="1"/>
    </row>
    <row r="614" spans="1:55" x14ac:dyDescent="0.25">
      <c r="A614" s="1"/>
      <c r="B614" s="1"/>
      <c r="C614" s="1"/>
      <c r="D614" s="1"/>
      <c r="E614" s="1"/>
      <c r="F614" s="1"/>
      <c r="G614" s="1"/>
      <c r="H614" s="1"/>
      <c r="I614" s="23"/>
      <c r="J614" s="1"/>
      <c r="K614" s="23"/>
      <c r="L614" s="23"/>
      <c r="M614" s="1"/>
      <c r="N614" s="23"/>
      <c r="O614" s="23"/>
      <c r="P614" s="1"/>
      <c r="Q614" s="1"/>
      <c r="R614" s="1"/>
      <c r="S614" s="23"/>
      <c r="T614" s="1"/>
      <c r="U614" s="23"/>
      <c r="V614" s="23"/>
      <c r="W614" s="1"/>
      <c r="X614" s="23"/>
      <c r="Y614" s="23"/>
      <c r="Z614" s="1"/>
      <c r="AA614" s="1"/>
      <c r="AB614" s="1"/>
      <c r="AC614" s="1"/>
      <c r="AD614" s="23"/>
      <c r="AE614" s="1"/>
      <c r="AF614" s="23"/>
      <c r="AG614" s="23"/>
      <c r="AH614" s="1"/>
      <c r="AI614" s="23"/>
      <c r="AJ614" s="23"/>
      <c r="AK614" s="1"/>
      <c r="AL614" s="1"/>
      <c r="AM614" s="1"/>
      <c r="AN614" s="1"/>
      <c r="AO614" s="23"/>
      <c r="AP614" s="1"/>
      <c r="AQ614" s="23"/>
      <c r="AR614" s="23"/>
      <c r="AS614" s="1"/>
      <c r="AX614" s="1"/>
      <c r="AY614" s="23"/>
      <c r="AZ614" s="1"/>
      <c r="BA614" s="23"/>
      <c r="BB614" s="23"/>
      <c r="BC614" s="1"/>
    </row>
    <row r="615" spans="1:55" x14ac:dyDescent="0.25">
      <c r="A615" s="1"/>
      <c r="B615" s="1"/>
      <c r="C615" s="1"/>
      <c r="D615" s="1"/>
      <c r="E615" s="1"/>
      <c r="F615" s="1"/>
      <c r="G615" s="1"/>
      <c r="H615" s="1"/>
      <c r="I615" s="23"/>
      <c r="J615" s="1"/>
      <c r="K615" s="23"/>
      <c r="L615" s="23"/>
      <c r="M615" s="1"/>
      <c r="N615" s="23"/>
      <c r="O615" s="23"/>
      <c r="P615" s="1"/>
      <c r="Q615" s="1"/>
      <c r="R615" s="1"/>
      <c r="S615" s="23"/>
      <c r="T615" s="1"/>
      <c r="U615" s="23"/>
      <c r="V615" s="23"/>
      <c r="W615" s="1"/>
      <c r="X615" s="23"/>
      <c r="Y615" s="23"/>
      <c r="Z615" s="1"/>
      <c r="AA615" s="1"/>
      <c r="AB615" s="1"/>
      <c r="AC615" s="1"/>
      <c r="AD615" s="23"/>
      <c r="AE615" s="1"/>
      <c r="AF615" s="23"/>
      <c r="AG615" s="23"/>
      <c r="AH615" s="1"/>
      <c r="AI615" s="23"/>
      <c r="AJ615" s="23"/>
      <c r="AK615" s="1"/>
      <c r="AL615" s="1"/>
      <c r="AM615" s="1"/>
      <c r="AN615" s="1"/>
      <c r="AO615" s="23"/>
      <c r="AP615" s="1"/>
      <c r="AQ615" s="23"/>
      <c r="AR615" s="23"/>
      <c r="AS615" s="1"/>
      <c r="AX615" s="1"/>
      <c r="AY615" s="23"/>
      <c r="AZ615" s="1"/>
      <c r="BA615" s="23"/>
      <c r="BB615" s="23"/>
      <c r="BC615" s="1"/>
    </row>
    <row r="616" spans="1:55" x14ac:dyDescent="0.25">
      <c r="A616" s="1"/>
      <c r="B616" s="1"/>
      <c r="C616" s="1"/>
      <c r="D616" s="1"/>
      <c r="E616" s="1"/>
      <c r="F616" s="1"/>
      <c r="G616" s="1"/>
      <c r="H616" s="1"/>
      <c r="I616" s="23"/>
      <c r="J616" s="1"/>
      <c r="K616" s="23"/>
      <c r="L616" s="23"/>
      <c r="M616" s="1"/>
      <c r="N616" s="23"/>
      <c r="O616" s="23"/>
      <c r="P616" s="1"/>
      <c r="Q616" s="1"/>
      <c r="R616" s="1"/>
      <c r="S616" s="23"/>
      <c r="T616" s="1"/>
      <c r="U616" s="23"/>
      <c r="V616" s="23"/>
      <c r="W616" s="1"/>
      <c r="X616" s="23"/>
      <c r="Y616" s="23"/>
      <c r="Z616" s="1"/>
      <c r="AA616" s="1"/>
      <c r="AB616" s="1"/>
      <c r="AC616" s="1"/>
      <c r="AD616" s="23"/>
      <c r="AE616" s="1"/>
      <c r="AF616" s="23"/>
      <c r="AG616" s="23"/>
      <c r="AH616" s="1"/>
      <c r="AI616" s="23"/>
      <c r="AJ616" s="23"/>
      <c r="AK616" s="1"/>
      <c r="AL616" s="1"/>
      <c r="AM616" s="1"/>
      <c r="AN616" s="1"/>
      <c r="AO616" s="23"/>
      <c r="AP616" s="1"/>
      <c r="AQ616" s="23"/>
      <c r="AR616" s="23"/>
      <c r="AS616" s="1"/>
      <c r="AX616" s="1"/>
      <c r="AY616" s="23"/>
      <c r="AZ616" s="1"/>
      <c r="BA616" s="23"/>
      <c r="BB616" s="23"/>
      <c r="BC616" s="1"/>
    </row>
    <row r="617" spans="1:55" x14ac:dyDescent="0.25">
      <c r="A617" s="1"/>
      <c r="B617" s="1"/>
      <c r="C617" s="1"/>
      <c r="D617" s="1"/>
      <c r="E617" s="1"/>
      <c r="F617" s="1"/>
      <c r="G617" s="1"/>
      <c r="H617" s="1"/>
      <c r="I617" s="23"/>
      <c r="J617" s="1"/>
      <c r="K617" s="23"/>
      <c r="L617" s="23"/>
      <c r="M617" s="1"/>
      <c r="N617" s="23"/>
      <c r="O617" s="23"/>
      <c r="P617" s="1"/>
      <c r="Q617" s="1"/>
      <c r="R617" s="1"/>
      <c r="S617" s="23"/>
      <c r="T617" s="1"/>
      <c r="U617" s="23"/>
      <c r="V617" s="23"/>
      <c r="W617" s="1"/>
      <c r="X617" s="23"/>
      <c r="Y617" s="23"/>
      <c r="Z617" s="1"/>
      <c r="AA617" s="1"/>
      <c r="AB617" s="1"/>
      <c r="AC617" s="1"/>
      <c r="AD617" s="23"/>
      <c r="AE617" s="1"/>
      <c r="AF617" s="23"/>
      <c r="AG617" s="23"/>
      <c r="AH617" s="1"/>
      <c r="AI617" s="23"/>
      <c r="AJ617" s="23"/>
      <c r="AK617" s="1"/>
      <c r="AL617" s="1"/>
      <c r="AM617" s="1"/>
      <c r="AN617" s="1"/>
      <c r="AO617" s="23"/>
      <c r="AP617" s="1"/>
      <c r="AQ617" s="23"/>
      <c r="AR617" s="23"/>
      <c r="AS617" s="1"/>
      <c r="AX617" s="1"/>
      <c r="AY617" s="23"/>
      <c r="AZ617" s="1"/>
      <c r="BA617" s="23"/>
      <c r="BB617" s="23"/>
      <c r="BC617" s="1"/>
    </row>
    <row r="618" spans="1:55" x14ac:dyDescent="0.25">
      <c r="A618" s="1"/>
      <c r="B618" s="1"/>
      <c r="C618" s="1"/>
      <c r="D618" s="1"/>
      <c r="E618" s="1"/>
      <c r="F618" s="1"/>
      <c r="G618" s="1"/>
      <c r="H618" s="1"/>
      <c r="I618" s="23"/>
      <c r="J618" s="1"/>
      <c r="K618" s="23"/>
      <c r="L618" s="23"/>
      <c r="M618" s="1"/>
      <c r="N618" s="23"/>
      <c r="O618" s="23"/>
      <c r="P618" s="1"/>
      <c r="Q618" s="1"/>
      <c r="R618" s="1"/>
      <c r="S618" s="23"/>
      <c r="T618" s="1"/>
      <c r="U618" s="23"/>
      <c r="V618" s="23"/>
      <c r="W618" s="1"/>
      <c r="X618" s="23"/>
      <c r="Y618" s="23"/>
      <c r="Z618" s="1"/>
      <c r="AA618" s="1"/>
      <c r="AB618" s="1"/>
      <c r="AC618" s="1"/>
      <c r="AD618" s="23"/>
      <c r="AE618" s="1"/>
      <c r="AF618" s="23"/>
      <c r="AG618" s="23"/>
      <c r="AH618" s="1"/>
      <c r="AI618" s="23"/>
      <c r="AJ618" s="23"/>
      <c r="AK618" s="1"/>
      <c r="AL618" s="1"/>
      <c r="AM618" s="1"/>
      <c r="AN618" s="1"/>
      <c r="AO618" s="23"/>
      <c r="AP618" s="1"/>
      <c r="AQ618" s="23"/>
      <c r="AR618" s="23"/>
      <c r="AS618" s="1"/>
      <c r="AX618" s="1"/>
      <c r="AY618" s="23"/>
      <c r="AZ618" s="1"/>
      <c r="BA618" s="23"/>
      <c r="BB618" s="23"/>
      <c r="BC618" s="1"/>
    </row>
    <row r="619" spans="1:55" x14ac:dyDescent="0.25">
      <c r="A619" s="1"/>
      <c r="B619" s="1"/>
      <c r="C619" s="1"/>
      <c r="D619" s="1"/>
      <c r="E619" s="1"/>
      <c r="F619" s="1"/>
      <c r="G619" s="1"/>
      <c r="H619" s="1"/>
      <c r="I619" s="23"/>
      <c r="J619" s="1"/>
      <c r="K619" s="23"/>
      <c r="L619" s="23"/>
      <c r="M619" s="1"/>
      <c r="N619" s="23"/>
      <c r="O619" s="23"/>
      <c r="P619" s="1"/>
      <c r="Q619" s="1"/>
      <c r="R619" s="1"/>
      <c r="S619" s="23"/>
      <c r="T619" s="1"/>
      <c r="U619" s="23"/>
      <c r="V619" s="23"/>
      <c r="W619" s="1"/>
      <c r="X619" s="23"/>
      <c r="Y619" s="23"/>
      <c r="Z619" s="1"/>
      <c r="AA619" s="1"/>
      <c r="AB619" s="1"/>
      <c r="AC619" s="1"/>
      <c r="AD619" s="23"/>
      <c r="AE619" s="1"/>
      <c r="AF619" s="23"/>
      <c r="AG619" s="23"/>
      <c r="AH619" s="1"/>
      <c r="AI619" s="23"/>
      <c r="AJ619" s="23"/>
      <c r="AK619" s="1"/>
      <c r="AL619" s="1"/>
      <c r="AM619" s="1"/>
      <c r="AN619" s="1"/>
      <c r="AO619" s="23"/>
      <c r="AP619" s="1"/>
      <c r="AQ619" s="23"/>
      <c r="AR619" s="23"/>
      <c r="AS619" s="1"/>
      <c r="AX619" s="1"/>
      <c r="AY619" s="23"/>
      <c r="AZ619" s="1"/>
      <c r="BA619" s="23"/>
      <c r="BB619" s="23"/>
      <c r="BC619" s="1"/>
    </row>
    <row r="620" spans="1:55" x14ac:dyDescent="0.25">
      <c r="A620" s="1"/>
      <c r="B620" s="1"/>
      <c r="C620" s="1"/>
      <c r="D620" s="1"/>
      <c r="E620" s="1"/>
      <c r="F620" s="1"/>
      <c r="G620" s="1"/>
      <c r="H620" s="1"/>
      <c r="I620" s="23"/>
      <c r="J620" s="1"/>
      <c r="K620" s="23"/>
      <c r="L620" s="23"/>
      <c r="M620" s="1"/>
      <c r="N620" s="23"/>
      <c r="O620" s="23"/>
      <c r="P620" s="1"/>
      <c r="Q620" s="1"/>
      <c r="R620" s="1"/>
      <c r="S620" s="23"/>
      <c r="T620" s="1"/>
      <c r="U620" s="23"/>
      <c r="V620" s="23"/>
      <c r="W620" s="1"/>
      <c r="X620" s="23"/>
      <c r="Y620" s="23"/>
      <c r="Z620" s="1"/>
      <c r="AA620" s="1"/>
      <c r="AB620" s="1"/>
      <c r="AC620" s="1"/>
      <c r="AD620" s="23"/>
      <c r="AE620" s="1"/>
      <c r="AF620" s="23"/>
      <c r="AG620" s="23"/>
      <c r="AH620" s="1"/>
      <c r="AI620" s="23"/>
      <c r="AJ620" s="23"/>
      <c r="AK620" s="1"/>
      <c r="AL620" s="1"/>
      <c r="AM620" s="1"/>
      <c r="AN620" s="1"/>
      <c r="AO620" s="23"/>
      <c r="AP620" s="1"/>
      <c r="AQ620" s="23"/>
      <c r="AR620" s="23"/>
      <c r="AS620" s="1"/>
      <c r="AX620" s="1"/>
      <c r="AY620" s="23"/>
      <c r="AZ620" s="1"/>
      <c r="BA620" s="23"/>
      <c r="BB620" s="23"/>
      <c r="BC620" s="1"/>
    </row>
    <row r="621" spans="1:55" x14ac:dyDescent="0.25">
      <c r="A621" s="1"/>
      <c r="B621" s="1"/>
      <c r="C621" s="1"/>
      <c r="D621" s="1"/>
      <c r="E621" s="1"/>
      <c r="F621" s="1"/>
      <c r="G621" s="1"/>
      <c r="H621" s="1"/>
      <c r="I621" s="23"/>
      <c r="J621" s="1"/>
      <c r="K621" s="23"/>
      <c r="L621" s="23"/>
      <c r="M621" s="1"/>
      <c r="N621" s="23"/>
      <c r="O621" s="23"/>
      <c r="P621" s="1"/>
      <c r="Q621" s="1"/>
      <c r="R621" s="1"/>
      <c r="S621" s="23"/>
      <c r="T621" s="1"/>
      <c r="U621" s="23"/>
      <c r="V621" s="23"/>
      <c r="W621" s="1"/>
      <c r="X621" s="23"/>
      <c r="Y621" s="23"/>
      <c r="Z621" s="1"/>
      <c r="AA621" s="1"/>
      <c r="AB621" s="1"/>
      <c r="AC621" s="1"/>
      <c r="AD621" s="23"/>
      <c r="AE621" s="1"/>
      <c r="AF621" s="23"/>
      <c r="AG621" s="23"/>
      <c r="AH621" s="1"/>
      <c r="AI621" s="23"/>
      <c r="AJ621" s="23"/>
      <c r="AK621" s="1"/>
      <c r="AL621" s="1"/>
      <c r="AM621" s="1"/>
      <c r="AN621" s="1"/>
      <c r="AO621" s="23"/>
      <c r="AP621" s="1"/>
      <c r="AQ621" s="23"/>
      <c r="AR621" s="23"/>
      <c r="AS621" s="1"/>
      <c r="AX621" s="1"/>
      <c r="AY621" s="23"/>
      <c r="AZ621" s="1"/>
      <c r="BA621" s="23"/>
      <c r="BB621" s="23"/>
      <c r="BC621" s="1"/>
    </row>
    <row r="622" spans="1:55" x14ac:dyDescent="0.25">
      <c r="A622" s="1"/>
      <c r="B622" s="1"/>
      <c r="C622" s="1"/>
      <c r="D622" s="1"/>
      <c r="E622" s="1"/>
      <c r="F622" s="1"/>
      <c r="G622" s="1"/>
      <c r="H622" s="1"/>
      <c r="I622" s="23"/>
      <c r="J622" s="1"/>
      <c r="K622" s="23"/>
      <c r="L622" s="23"/>
      <c r="M622" s="1"/>
      <c r="N622" s="23"/>
      <c r="O622" s="23"/>
      <c r="P622" s="1"/>
      <c r="Q622" s="1"/>
      <c r="R622" s="1"/>
      <c r="S622" s="23"/>
      <c r="T622" s="1"/>
      <c r="U622" s="23"/>
      <c r="V622" s="23"/>
      <c r="W622" s="1"/>
      <c r="X622" s="23"/>
      <c r="Y622" s="23"/>
      <c r="Z622" s="1"/>
      <c r="AA622" s="1"/>
      <c r="AB622" s="1"/>
      <c r="AC622" s="1"/>
      <c r="AD622" s="23"/>
      <c r="AE622" s="1"/>
      <c r="AF622" s="23"/>
      <c r="AG622" s="23"/>
      <c r="AH622" s="1"/>
      <c r="AI622" s="23"/>
      <c r="AJ622" s="23"/>
      <c r="AK622" s="1"/>
      <c r="AL622" s="1"/>
      <c r="AM622" s="1"/>
      <c r="AN622" s="1"/>
      <c r="AO622" s="23"/>
      <c r="AP622" s="1"/>
      <c r="AQ622" s="23"/>
      <c r="AR622" s="23"/>
      <c r="AS622" s="1"/>
      <c r="AX622" s="1"/>
      <c r="AY622" s="23"/>
      <c r="AZ622" s="1"/>
      <c r="BA622" s="23"/>
      <c r="BB622" s="23"/>
      <c r="BC622" s="1"/>
    </row>
    <row r="623" spans="1:55" x14ac:dyDescent="0.25">
      <c r="A623" s="1"/>
      <c r="B623" s="1"/>
      <c r="C623" s="1"/>
      <c r="D623" s="1"/>
      <c r="E623" s="1"/>
      <c r="F623" s="1"/>
      <c r="G623" s="1"/>
      <c r="H623" s="1"/>
      <c r="I623" s="23"/>
      <c r="J623" s="1"/>
      <c r="K623" s="23"/>
      <c r="L623" s="23"/>
      <c r="M623" s="1"/>
      <c r="N623" s="23"/>
      <c r="O623" s="23"/>
      <c r="P623" s="1"/>
      <c r="Q623" s="1"/>
      <c r="R623" s="1"/>
      <c r="S623" s="23"/>
      <c r="T623" s="1"/>
      <c r="U623" s="23"/>
      <c r="V623" s="23"/>
      <c r="W623" s="1"/>
      <c r="X623" s="23"/>
      <c r="Y623" s="23"/>
      <c r="Z623" s="1"/>
      <c r="AA623" s="1"/>
      <c r="AB623" s="1"/>
      <c r="AC623" s="1"/>
      <c r="AD623" s="23"/>
      <c r="AE623" s="1"/>
      <c r="AF623" s="23"/>
      <c r="AG623" s="23"/>
      <c r="AH623" s="1"/>
      <c r="AI623" s="23"/>
      <c r="AJ623" s="23"/>
      <c r="AK623" s="1"/>
      <c r="AL623" s="1"/>
      <c r="AM623" s="1"/>
      <c r="AN623" s="1"/>
      <c r="AO623" s="23"/>
      <c r="AP623" s="1"/>
      <c r="AQ623" s="23"/>
      <c r="AR623" s="23"/>
      <c r="AS623" s="1"/>
      <c r="AX623" s="1"/>
      <c r="AY623" s="23"/>
      <c r="AZ623" s="1"/>
      <c r="BA623" s="23"/>
      <c r="BB623" s="23"/>
      <c r="BC623" s="1"/>
    </row>
    <row r="624" spans="1:55" x14ac:dyDescent="0.25">
      <c r="A624" s="1"/>
      <c r="B624" s="1"/>
      <c r="C624" s="1"/>
      <c r="D624" s="1"/>
      <c r="E624" s="1"/>
      <c r="F624" s="1"/>
      <c r="G624" s="1"/>
      <c r="H624" s="1"/>
      <c r="I624" s="23"/>
      <c r="J624" s="1"/>
      <c r="K624" s="23"/>
      <c r="L624" s="23"/>
      <c r="M624" s="1"/>
      <c r="N624" s="23"/>
      <c r="O624" s="23"/>
      <c r="P624" s="1"/>
      <c r="Q624" s="1"/>
      <c r="R624" s="1"/>
      <c r="S624" s="23"/>
      <c r="T624" s="1"/>
      <c r="U624" s="23"/>
      <c r="V624" s="23"/>
      <c r="W624" s="1"/>
      <c r="X624" s="23"/>
      <c r="Y624" s="23"/>
      <c r="Z624" s="1"/>
      <c r="AA624" s="1"/>
      <c r="AB624" s="1"/>
      <c r="AC624" s="1"/>
      <c r="AD624" s="23"/>
      <c r="AE624" s="1"/>
      <c r="AF624" s="23"/>
      <c r="AG624" s="23"/>
      <c r="AH624" s="1"/>
      <c r="AI624" s="23"/>
      <c r="AJ624" s="23"/>
      <c r="AK624" s="1"/>
      <c r="AL624" s="1"/>
      <c r="AM624" s="1"/>
      <c r="AN624" s="1"/>
      <c r="AO624" s="23"/>
      <c r="AP624" s="1"/>
      <c r="AQ624" s="23"/>
      <c r="AR624" s="23"/>
      <c r="AS624" s="1"/>
      <c r="AX624" s="1"/>
      <c r="AY624" s="23"/>
      <c r="AZ624" s="1"/>
      <c r="BA624" s="23"/>
      <c r="BB624" s="23"/>
      <c r="BC624" s="1"/>
    </row>
    <row r="625" spans="1:55" x14ac:dyDescent="0.25">
      <c r="A625" s="1"/>
      <c r="B625" s="1"/>
      <c r="C625" s="1"/>
      <c r="D625" s="1"/>
      <c r="E625" s="1"/>
      <c r="F625" s="1"/>
      <c r="G625" s="1"/>
      <c r="H625" s="1"/>
      <c r="I625" s="23"/>
      <c r="J625" s="1"/>
      <c r="K625" s="23"/>
      <c r="L625" s="23"/>
      <c r="M625" s="1"/>
      <c r="N625" s="23"/>
      <c r="O625" s="23"/>
      <c r="P625" s="1"/>
      <c r="Q625" s="1"/>
      <c r="R625" s="1"/>
      <c r="S625" s="23"/>
      <c r="T625" s="1"/>
      <c r="U625" s="23"/>
      <c r="V625" s="23"/>
      <c r="W625" s="1"/>
      <c r="X625" s="23"/>
      <c r="Y625" s="23"/>
      <c r="Z625" s="1"/>
      <c r="AA625" s="1"/>
      <c r="AB625" s="1"/>
      <c r="AC625" s="1"/>
      <c r="AD625" s="23"/>
      <c r="AE625" s="1"/>
      <c r="AF625" s="23"/>
      <c r="AG625" s="23"/>
      <c r="AH625" s="1"/>
      <c r="AI625" s="23"/>
      <c r="AJ625" s="23"/>
      <c r="AK625" s="1"/>
      <c r="AL625" s="1"/>
      <c r="AM625" s="1"/>
      <c r="AN625" s="1"/>
      <c r="AO625" s="23"/>
      <c r="AP625" s="1"/>
      <c r="AQ625" s="23"/>
      <c r="AR625" s="23"/>
      <c r="AS625" s="1"/>
      <c r="AX625" s="1"/>
      <c r="AY625" s="23"/>
      <c r="AZ625" s="1"/>
      <c r="BA625" s="23"/>
      <c r="BB625" s="23"/>
      <c r="BC625" s="1"/>
    </row>
    <row r="626" spans="1:55" x14ac:dyDescent="0.25">
      <c r="A626" s="1"/>
      <c r="B626" s="1"/>
      <c r="C626" s="1"/>
      <c r="D626" s="1"/>
      <c r="E626" s="1"/>
      <c r="F626" s="1"/>
      <c r="G626" s="1"/>
      <c r="H626" s="1"/>
      <c r="I626" s="23"/>
      <c r="J626" s="1"/>
      <c r="K626" s="23"/>
      <c r="L626" s="23"/>
      <c r="M626" s="1"/>
      <c r="N626" s="23"/>
      <c r="O626" s="23"/>
      <c r="P626" s="1"/>
      <c r="Q626" s="1"/>
      <c r="R626" s="1"/>
      <c r="S626" s="23"/>
      <c r="T626" s="1"/>
      <c r="U626" s="23"/>
      <c r="V626" s="23"/>
      <c r="W626" s="1"/>
      <c r="X626" s="23"/>
      <c r="Y626" s="23"/>
      <c r="Z626" s="1"/>
      <c r="AA626" s="1"/>
      <c r="AB626" s="1"/>
      <c r="AC626" s="1"/>
      <c r="AD626" s="23"/>
      <c r="AE626" s="1"/>
      <c r="AF626" s="23"/>
      <c r="AG626" s="23"/>
      <c r="AH626" s="1"/>
      <c r="AI626" s="23"/>
      <c r="AJ626" s="23"/>
      <c r="AK626" s="1"/>
      <c r="AL626" s="1"/>
      <c r="AM626" s="1"/>
      <c r="AN626" s="1"/>
      <c r="AO626" s="23"/>
      <c r="AP626" s="1"/>
      <c r="AQ626" s="23"/>
      <c r="AR626" s="23"/>
      <c r="AS626" s="1"/>
      <c r="AX626" s="1"/>
      <c r="AY626" s="23"/>
      <c r="AZ626" s="1"/>
      <c r="BA626" s="23"/>
      <c r="BB626" s="23"/>
      <c r="BC626" s="1"/>
    </row>
    <row r="627" spans="1:55" x14ac:dyDescent="0.25">
      <c r="A627" s="1"/>
      <c r="B627" s="1"/>
      <c r="C627" s="1"/>
      <c r="D627" s="1"/>
      <c r="E627" s="1"/>
      <c r="F627" s="1"/>
      <c r="G627" s="1"/>
      <c r="H627" s="1"/>
      <c r="I627" s="23"/>
      <c r="J627" s="1"/>
      <c r="K627" s="23"/>
      <c r="L627" s="23"/>
      <c r="M627" s="1"/>
      <c r="N627" s="23"/>
      <c r="O627" s="23"/>
      <c r="P627" s="1"/>
      <c r="Q627" s="1"/>
      <c r="R627" s="1"/>
      <c r="S627" s="23"/>
      <c r="T627" s="1"/>
      <c r="U627" s="23"/>
      <c r="V627" s="23"/>
      <c r="W627" s="1"/>
      <c r="X627" s="23"/>
      <c r="Y627" s="23"/>
      <c r="Z627" s="1"/>
      <c r="AA627" s="1"/>
      <c r="AB627" s="1"/>
      <c r="AC627" s="1"/>
      <c r="AD627" s="23"/>
      <c r="AE627" s="1"/>
      <c r="AF627" s="23"/>
      <c r="AG627" s="23"/>
      <c r="AH627" s="1"/>
      <c r="AI627" s="23"/>
      <c r="AJ627" s="23"/>
      <c r="AK627" s="1"/>
      <c r="AL627" s="1"/>
      <c r="AM627" s="1"/>
      <c r="AN627" s="1"/>
      <c r="AO627" s="23"/>
      <c r="AP627" s="1"/>
      <c r="AQ627" s="23"/>
      <c r="AR627" s="23"/>
      <c r="AS627" s="1"/>
      <c r="AX627" s="1"/>
      <c r="AY627" s="23"/>
      <c r="AZ627" s="1"/>
      <c r="BA627" s="23"/>
      <c r="BB627" s="23"/>
      <c r="BC627" s="1"/>
    </row>
    <row r="628" spans="1:55" x14ac:dyDescent="0.25">
      <c r="A628" s="1"/>
      <c r="B628" s="1"/>
      <c r="C628" s="1"/>
      <c r="D628" s="1"/>
      <c r="E628" s="1"/>
      <c r="F628" s="1"/>
      <c r="G628" s="1"/>
      <c r="H628" s="1"/>
      <c r="I628" s="23"/>
      <c r="J628" s="1"/>
      <c r="K628" s="23"/>
      <c r="L628" s="23"/>
      <c r="M628" s="1"/>
      <c r="N628" s="23"/>
      <c r="O628" s="23"/>
      <c r="P628" s="1"/>
      <c r="Q628" s="1"/>
      <c r="R628" s="1"/>
      <c r="S628" s="23"/>
      <c r="T628" s="1"/>
      <c r="U628" s="23"/>
      <c r="V628" s="23"/>
      <c r="W628" s="1"/>
      <c r="X628" s="23"/>
      <c r="Y628" s="23"/>
      <c r="Z628" s="1"/>
      <c r="AA628" s="1"/>
      <c r="AB628" s="1"/>
      <c r="AC628" s="1"/>
      <c r="AD628" s="23"/>
      <c r="AE628" s="1"/>
      <c r="AF628" s="23"/>
      <c r="AG628" s="23"/>
      <c r="AH628" s="1"/>
      <c r="AI628" s="23"/>
      <c r="AJ628" s="23"/>
      <c r="AK628" s="1"/>
      <c r="AL628" s="1"/>
      <c r="AM628" s="1"/>
      <c r="AN628" s="1"/>
      <c r="AO628" s="23"/>
      <c r="AP628" s="1"/>
      <c r="AQ628" s="23"/>
      <c r="AR628" s="23"/>
      <c r="AS628" s="1"/>
      <c r="AX628" s="1"/>
      <c r="AY628" s="23"/>
      <c r="AZ628" s="1"/>
      <c r="BA628" s="23"/>
      <c r="BB628" s="23"/>
      <c r="BC628" s="1"/>
    </row>
    <row r="629" spans="1:55" x14ac:dyDescent="0.25">
      <c r="A629" s="1"/>
      <c r="B629" s="1"/>
      <c r="C629" s="1"/>
      <c r="D629" s="1"/>
      <c r="E629" s="1"/>
      <c r="F629" s="1"/>
      <c r="G629" s="1"/>
      <c r="H629" s="1"/>
      <c r="I629" s="23"/>
      <c r="J629" s="1"/>
      <c r="K629" s="23"/>
      <c r="L629" s="23"/>
      <c r="M629" s="1"/>
      <c r="N629" s="23"/>
      <c r="O629" s="23"/>
      <c r="P629" s="1"/>
      <c r="Q629" s="1"/>
      <c r="R629" s="1"/>
      <c r="S629" s="23"/>
      <c r="T629" s="1"/>
      <c r="U629" s="23"/>
      <c r="V629" s="23"/>
      <c r="W629" s="1"/>
      <c r="X629" s="23"/>
      <c r="Y629" s="23"/>
      <c r="Z629" s="1"/>
      <c r="AA629" s="1"/>
      <c r="AB629" s="1"/>
      <c r="AC629" s="1"/>
      <c r="AD629" s="23"/>
      <c r="AE629" s="1"/>
      <c r="AF629" s="23"/>
      <c r="AG629" s="23"/>
      <c r="AH629" s="1"/>
      <c r="AI629" s="23"/>
      <c r="AJ629" s="23"/>
      <c r="AK629" s="1"/>
      <c r="AL629" s="1"/>
      <c r="AM629" s="1"/>
      <c r="AN629" s="1"/>
      <c r="AO629" s="23"/>
      <c r="AP629" s="1"/>
      <c r="AQ629" s="23"/>
      <c r="AR629" s="23"/>
      <c r="AS629" s="1"/>
      <c r="AX629" s="1"/>
      <c r="AY629" s="23"/>
      <c r="AZ629" s="1"/>
      <c r="BA629" s="23"/>
      <c r="BB629" s="23"/>
      <c r="BC629" s="1"/>
    </row>
    <row r="630" spans="1:55" x14ac:dyDescent="0.25">
      <c r="A630" s="1"/>
      <c r="B630" s="1"/>
      <c r="C630" s="1"/>
      <c r="D630" s="1"/>
      <c r="E630" s="1"/>
      <c r="F630" s="1"/>
      <c r="G630" s="1"/>
      <c r="H630" s="1"/>
      <c r="I630" s="23"/>
      <c r="J630" s="1"/>
      <c r="K630" s="23"/>
      <c r="L630" s="23"/>
      <c r="M630" s="1"/>
      <c r="N630" s="23"/>
      <c r="O630" s="23"/>
      <c r="P630" s="1"/>
      <c r="Q630" s="1"/>
      <c r="R630" s="1"/>
      <c r="S630" s="23"/>
      <c r="T630" s="1"/>
      <c r="U630" s="23"/>
      <c r="V630" s="23"/>
      <c r="W630" s="1"/>
      <c r="X630" s="23"/>
      <c r="Y630" s="23"/>
      <c r="Z630" s="1"/>
      <c r="AA630" s="1"/>
      <c r="AB630" s="1"/>
      <c r="AC630" s="1"/>
      <c r="AD630" s="23"/>
      <c r="AE630" s="1"/>
      <c r="AF630" s="23"/>
      <c r="AG630" s="23"/>
      <c r="AH630" s="1"/>
      <c r="AI630" s="23"/>
      <c r="AJ630" s="23"/>
      <c r="AK630" s="1"/>
      <c r="AL630" s="1"/>
      <c r="AM630" s="1"/>
      <c r="AN630" s="1"/>
      <c r="AO630" s="23"/>
      <c r="AP630" s="1"/>
      <c r="AQ630" s="23"/>
      <c r="AR630" s="23"/>
      <c r="AS630" s="1"/>
      <c r="AX630" s="1"/>
      <c r="AY630" s="23"/>
      <c r="AZ630" s="1"/>
      <c r="BA630" s="23"/>
      <c r="BB630" s="23"/>
      <c r="BC630" s="1"/>
    </row>
    <row r="631" spans="1:55" x14ac:dyDescent="0.25">
      <c r="A631" s="1"/>
      <c r="B631" s="1"/>
      <c r="C631" s="1"/>
      <c r="D631" s="1"/>
      <c r="E631" s="1"/>
      <c r="F631" s="1"/>
      <c r="G631" s="1"/>
      <c r="H631" s="1"/>
      <c r="I631" s="23"/>
      <c r="J631" s="1"/>
      <c r="K631" s="23"/>
      <c r="L631" s="23"/>
      <c r="M631" s="1"/>
      <c r="N631" s="23"/>
      <c r="O631" s="23"/>
      <c r="P631" s="1"/>
      <c r="Q631" s="1"/>
      <c r="R631" s="1"/>
      <c r="S631" s="23"/>
      <c r="T631" s="1"/>
      <c r="U631" s="23"/>
      <c r="V631" s="23"/>
      <c r="W631" s="1"/>
      <c r="X631" s="23"/>
      <c r="Y631" s="23"/>
      <c r="Z631" s="1"/>
      <c r="AA631" s="1"/>
      <c r="AB631" s="1"/>
      <c r="AC631" s="1"/>
      <c r="AD631" s="23"/>
      <c r="AE631" s="1"/>
      <c r="AF631" s="23"/>
      <c r="AG631" s="23"/>
      <c r="AH631" s="1"/>
      <c r="AI631" s="23"/>
      <c r="AJ631" s="23"/>
      <c r="AK631" s="1"/>
      <c r="AL631" s="1"/>
      <c r="AM631" s="1"/>
      <c r="AN631" s="1"/>
      <c r="AO631" s="23"/>
      <c r="AP631" s="1"/>
      <c r="AQ631" s="23"/>
      <c r="AR631" s="23"/>
      <c r="AS631" s="1"/>
      <c r="AX631" s="1"/>
      <c r="AY631" s="23"/>
      <c r="AZ631" s="1"/>
      <c r="BA631" s="23"/>
      <c r="BB631" s="23"/>
      <c r="BC631" s="1"/>
    </row>
    <row r="632" spans="1:55" x14ac:dyDescent="0.25">
      <c r="A632" s="1"/>
      <c r="B632" s="1"/>
      <c r="C632" s="1"/>
      <c r="D632" s="1"/>
      <c r="E632" s="1"/>
      <c r="F632" s="1"/>
      <c r="G632" s="1"/>
      <c r="H632" s="1"/>
      <c r="I632" s="23"/>
      <c r="J632" s="1"/>
      <c r="K632" s="23"/>
      <c r="L632" s="23"/>
      <c r="M632" s="1"/>
      <c r="N632" s="23"/>
      <c r="O632" s="23"/>
      <c r="P632" s="1"/>
      <c r="Q632" s="1"/>
      <c r="R632" s="1"/>
      <c r="S632" s="23"/>
      <c r="T632" s="1"/>
      <c r="U632" s="23"/>
      <c r="V632" s="23"/>
      <c r="W632" s="1"/>
      <c r="X632" s="23"/>
      <c r="Y632" s="23"/>
      <c r="Z632" s="1"/>
      <c r="AA632" s="1"/>
      <c r="AB632" s="1"/>
      <c r="AC632" s="1"/>
      <c r="AD632" s="23"/>
      <c r="AE632" s="1"/>
      <c r="AF632" s="23"/>
      <c r="AG632" s="23"/>
      <c r="AH632" s="1"/>
      <c r="AI632" s="23"/>
      <c r="AJ632" s="23"/>
      <c r="AK632" s="1"/>
      <c r="AL632" s="1"/>
      <c r="AM632" s="1"/>
      <c r="AN632" s="1"/>
      <c r="AO632" s="23"/>
      <c r="AP632" s="1"/>
      <c r="AQ632" s="23"/>
      <c r="AR632" s="23"/>
      <c r="AS632" s="1"/>
      <c r="AX632" s="1"/>
      <c r="AY632" s="23"/>
      <c r="AZ632" s="1"/>
      <c r="BA632" s="23"/>
      <c r="BB632" s="23"/>
      <c r="BC632" s="1"/>
    </row>
    <row r="633" spans="1:55" x14ac:dyDescent="0.25">
      <c r="A633" s="1"/>
      <c r="B633" s="1"/>
      <c r="C633" s="1"/>
      <c r="D633" s="1"/>
      <c r="E633" s="1"/>
      <c r="F633" s="1"/>
      <c r="G633" s="1"/>
      <c r="H633" s="1"/>
      <c r="I633" s="23"/>
      <c r="J633" s="1"/>
      <c r="K633" s="23"/>
      <c r="L633" s="23"/>
      <c r="M633" s="1"/>
      <c r="N633" s="23"/>
      <c r="O633" s="23"/>
      <c r="P633" s="1"/>
      <c r="Q633" s="1"/>
      <c r="R633" s="1"/>
      <c r="S633" s="23"/>
      <c r="T633" s="1"/>
      <c r="U633" s="23"/>
      <c r="V633" s="23"/>
      <c r="W633" s="1"/>
      <c r="X633" s="23"/>
      <c r="Y633" s="23"/>
      <c r="Z633" s="1"/>
      <c r="AA633" s="1"/>
      <c r="AB633" s="1"/>
      <c r="AC633" s="1"/>
      <c r="AD633" s="23"/>
      <c r="AE633" s="1"/>
      <c r="AF633" s="23"/>
      <c r="AG633" s="23"/>
      <c r="AH633" s="1"/>
      <c r="AI633" s="23"/>
      <c r="AJ633" s="23"/>
      <c r="AK633" s="1"/>
      <c r="AL633" s="1"/>
      <c r="AM633" s="1"/>
      <c r="AN633" s="1"/>
      <c r="AO633" s="23"/>
      <c r="AP633" s="1"/>
      <c r="AQ633" s="23"/>
      <c r="AR633" s="23"/>
      <c r="AS633" s="1"/>
      <c r="AX633" s="1"/>
      <c r="AY633" s="23"/>
      <c r="AZ633" s="1"/>
      <c r="BA633" s="23"/>
      <c r="BB633" s="23"/>
      <c r="BC633" s="1"/>
    </row>
    <row r="634" spans="1:55" x14ac:dyDescent="0.25">
      <c r="A634" s="1"/>
      <c r="B634" s="1"/>
      <c r="C634" s="1"/>
      <c r="D634" s="1"/>
      <c r="E634" s="1"/>
      <c r="F634" s="1"/>
      <c r="G634" s="1"/>
      <c r="H634" s="1"/>
      <c r="I634" s="23"/>
      <c r="J634" s="1"/>
      <c r="K634" s="23"/>
      <c r="L634" s="23"/>
      <c r="M634" s="1"/>
      <c r="N634" s="23"/>
      <c r="O634" s="23"/>
      <c r="P634" s="1"/>
      <c r="Q634" s="1"/>
      <c r="R634" s="1"/>
      <c r="S634" s="23"/>
      <c r="T634" s="1"/>
      <c r="U634" s="23"/>
      <c r="V634" s="23"/>
      <c r="W634" s="1"/>
      <c r="X634" s="23"/>
      <c r="Y634" s="23"/>
      <c r="Z634" s="1"/>
      <c r="AA634" s="1"/>
      <c r="AB634" s="1"/>
      <c r="AC634" s="1"/>
      <c r="AD634" s="23"/>
      <c r="AE634" s="1"/>
      <c r="AF634" s="23"/>
      <c r="AG634" s="23"/>
      <c r="AH634" s="1"/>
      <c r="AI634" s="23"/>
      <c r="AJ634" s="23"/>
      <c r="AK634" s="1"/>
      <c r="AL634" s="1"/>
      <c r="AM634" s="1"/>
      <c r="AN634" s="1"/>
      <c r="AO634" s="23"/>
      <c r="AP634" s="1"/>
      <c r="AQ634" s="23"/>
      <c r="AR634" s="23"/>
      <c r="AS634" s="1"/>
      <c r="AX634" s="1"/>
      <c r="AY634" s="23"/>
      <c r="AZ634" s="1"/>
      <c r="BA634" s="23"/>
      <c r="BB634" s="23"/>
      <c r="BC634" s="1"/>
    </row>
    <row r="635" spans="1:55" x14ac:dyDescent="0.25">
      <c r="A635" s="1"/>
      <c r="B635" s="1"/>
      <c r="C635" s="1"/>
      <c r="D635" s="1"/>
      <c r="E635" s="1"/>
      <c r="F635" s="1"/>
      <c r="G635" s="1"/>
      <c r="H635" s="1"/>
      <c r="I635" s="23"/>
      <c r="J635" s="1"/>
      <c r="K635" s="23"/>
      <c r="L635" s="23"/>
      <c r="M635" s="1"/>
      <c r="N635" s="23"/>
      <c r="O635" s="23"/>
      <c r="P635" s="1"/>
      <c r="Q635" s="1"/>
      <c r="R635" s="1"/>
      <c r="S635" s="23"/>
      <c r="T635" s="1"/>
      <c r="U635" s="23"/>
      <c r="V635" s="23"/>
      <c r="W635" s="1"/>
      <c r="X635" s="23"/>
      <c r="Y635" s="23"/>
      <c r="Z635" s="1"/>
      <c r="AA635" s="1"/>
      <c r="AB635" s="1"/>
      <c r="AC635" s="1"/>
      <c r="AD635" s="23"/>
      <c r="AE635" s="1"/>
      <c r="AF635" s="23"/>
      <c r="AG635" s="23"/>
      <c r="AH635" s="1"/>
      <c r="AI635" s="23"/>
      <c r="AJ635" s="23"/>
      <c r="AK635" s="1"/>
      <c r="AL635" s="1"/>
      <c r="AM635" s="1"/>
      <c r="AN635" s="1"/>
      <c r="AO635" s="23"/>
      <c r="AP635" s="1"/>
      <c r="AQ635" s="23"/>
      <c r="AR635" s="23"/>
      <c r="AS635" s="1"/>
      <c r="AX635" s="1"/>
      <c r="AY635" s="23"/>
      <c r="AZ635" s="1"/>
      <c r="BA635" s="23"/>
      <c r="BB635" s="23"/>
      <c r="BC635" s="1"/>
    </row>
    <row r="636" spans="1:55" x14ac:dyDescent="0.25">
      <c r="A636" s="1"/>
      <c r="B636" s="1"/>
      <c r="C636" s="1"/>
      <c r="D636" s="1"/>
      <c r="E636" s="1"/>
      <c r="F636" s="1"/>
      <c r="G636" s="1"/>
      <c r="H636" s="1"/>
      <c r="I636" s="23"/>
      <c r="J636" s="1"/>
      <c r="K636" s="23"/>
      <c r="L636" s="23"/>
      <c r="M636" s="1"/>
      <c r="N636" s="23"/>
      <c r="O636" s="23"/>
      <c r="P636" s="1"/>
      <c r="Q636" s="1"/>
      <c r="R636" s="1"/>
      <c r="S636" s="23"/>
      <c r="T636" s="1"/>
      <c r="U636" s="23"/>
      <c r="V636" s="23"/>
      <c r="W636" s="1"/>
      <c r="X636" s="23"/>
      <c r="Y636" s="23"/>
      <c r="Z636" s="1"/>
      <c r="AA636" s="1"/>
      <c r="AB636" s="1"/>
      <c r="AC636" s="1"/>
      <c r="AD636" s="23"/>
      <c r="AE636" s="1"/>
      <c r="AF636" s="23"/>
      <c r="AG636" s="23"/>
      <c r="AH636" s="1"/>
      <c r="AI636" s="23"/>
      <c r="AJ636" s="23"/>
      <c r="AK636" s="1"/>
      <c r="AL636" s="1"/>
      <c r="AM636" s="1"/>
      <c r="AN636" s="1"/>
      <c r="AO636" s="23"/>
      <c r="AP636" s="1"/>
      <c r="AQ636" s="23"/>
      <c r="AR636" s="23"/>
      <c r="AS636" s="1"/>
      <c r="AX636" s="1"/>
      <c r="AY636" s="23"/>
      <c r="AZ636" s="1"/>
      <c r="BA636" s="23"/>
      <c r="BB636" s="23"/>
      <c r="BC636" s="1"/>
    </row>
    <row r="637" spans="1:55" x14ac:dyDescent="0.25">
      <c r="A637" s="1"/>
      <c r="B637" s="1"/>
      <c r="C637" s="1"/>
      <c r="D637" s="1"/>
      <c r="E637" s="1"/>
      <c r="F637" s="1"/>
      <c r="G637" s="1"/>
      <c r="H637" s="1"/>
      <c r="I637" s="23"/>
      <c r="J637" s="1"/>
      <c r="K637" s="23"/>
      <c r="L637" s="23"/>
      <c r="M637" s="1"/>
      <c r="N637" s="23"/>
      <c r="O637" s="23"/>
      <c r="P637" s="1"/>
      <c r="Q637" s="1"/>
      <c r="R637" s="1"/>
      <c r="S637" s="23"/>
      <c r="T637" s="1"/>
      <c r="U637" s="23"/>
      <c r="V637" s="23"/>
      <c r="W637" s="1"/>
      <c r="X637" s="23"/>
      <c r="Y637" s="23"/>
      <c r="Z637" s="1"/>
      <c r="AA637" s="1"/>
      <c r="AB637" s="1"/>
      <c r="AC637" s="1"/>
      <c r="AD637" s="23"/>
      <c r="AE637" s="1"/>
      <c r="AF637" s="23"/>
      <c r="AG637" s="23"/>
      <c r="AH637" s="1"/>
      <c r="AI637" s="23"/>
      <c r="AJ637" s="23"/>
      <c r="AK637" s="1"/>
      <c r="AL637" s="1"/>
      <c r="AM637" s="1"/>
      <c r="AN637" s="1"/>
      <c r="AO637" s="23"/>
      <c r="AP637" s="1"/>
      <c r="AQ637" s="23"/>
      <c r="AR637" s="23"/>
      <c r="AS637" s="1"/>
      <c r="AX637" s="1"/>
      <c r="AY637" s="23"/>
      <c r="AZ637" s="1"/>
      <c r="BA637" s="23"/>
      <c r="BB637" s="23"/>
      <c r="BC637" s="1"/>
    </row>
    <row r="638" spans="1:55" x14ac:dyDescent="0.25">
      <c r="A638" s="1"/>
      <c r="B638" s="1"/>
      <c r="C638" s="1"/>
      <c r="D638" s="1"/>
      <c r="E638" s="1"/>
      <c r="F638" s="1"/>
      <c r="G638" s="1"/>
      <c r="H638" s="1"/>
      <c r="I638" s="23"/>
      <c r="J638" s="1"/>
      <c r="K638" s="23"/>
      <c r="L638" s="23"/>
      <c r="M638" s="1"/>
      <c r="N638" s="23"/>
      <c r="O638" s="23"/>
      <c r="P638" s="1"/>
      <c r="Q638" s="1"/>
      <c r="R638" s="1"/>
      <c r="S638" s="23"/>
      <c r="T638" s="1"/>
      <c r="U638" s="23"/>
      <c r="V638" s="23"/>
      <c r="W638" s="1"/>
      <c r="X638" s="23"/>
      <c r="Y638" s="23"/>
      <c r="Z638" s="1"/>
      <c r="AA638" s="1"/>
      <c r="AB638" s="1"/>
      <c r="AC638" s="1"/>
      <c r="AD638" s="23"/>
      <c r="AE638" s="1"/>
      <c r="AF638" s="23"/>
      <c r="AG638" s="23"/>
      <c r="AH638" s="1"/>
      <c r="AI638" s="23"/>
      <c r="AJ638" s="23"/>
      <c r="AK638" s="1"/>
      <c r="AL638" s="1"/>
      <c r="AM638" s="1"/>
      <c r="AN638" s="1"/>
      <c r="AO638" s="23"/>
      <c r="AP638" s="1"/>
      <c r="AQ638" s="23"/>
      <c r="AR638" s="23"/>
      <c r="AS638" s="1"/>
      <c r="AX638" s="1"/>
      <c r="AY638" s="23"/>
      <c r="AZ638" s="1"/>
      <c r="BA638" s="23"/>
      <c r="BB638" s="23"/>
      <c r="BC638" s="1"/>
    </row>
    <row r="639" spans="1:55" x14ac:dyDescent="0.25">
      <c r="A639" s="1"/>
      <c r="B639" s="1"/>
      <c r="C639" s="1"/>
      <c r="D639" s="1"/>
      <c r="E639" s="1"/>
      <c r="F639" s="1"/>
      <c r="G639" s="1"/>
      <c r="H639" s="1"/>
      <c r="I639" s="23"/>
      <c r="J639" s="1"/>
      <c r="K639" s="23"/>
      <c r="L639" s="23"/>
      <c r="M639" s="1"/>
      <c r="N639" s="23"/>
      <c r="O639" s="23"/>
      <c r="P639" s="1"/>
      <c r="Q639" s="1"/>
      <c r="R639" s="1"/>
      <c r="S639" s="23"/>
      <c r="T639" s="1"/>
      <c r="U639" s="23"/>
      <c r="V639" s="23"/>
      <c r="W639" s="1"/>
      <c r="X639" s="23"/>
      <c r="Y639" s="23"/>
      <c r="Z639" s="1"/>
      <c r="AA639" s="1"/>
      <c r="AB639" s="1"/>
      <c r="AC639" s="1"/>
      <c r="AD639" s="23"/>
      <c r="AE639" s="1"/>
      <c r="AF639" s="23"/>
      <c r="AG639" s="23"/>
      <c r="AH639" s="1"/>
      <c r="AI639" s="23"/>
      <c r="AJ639" s="23"/>
      <c r="AK639" s="1"/>
      <c r="AL639" s="1"/>
      <c r="AM639" s="1"/>
      <c r="AN639" s="1"/>
      <c r="AO639" s="23"/>
      <c r="AP639" s="1"/>
      <c r="AQ639" s="23"/>
      <c r="AR639" s="23"/>
      <c r="AS639" s="1"/>
      <c r="AX639" s="1"/>
      <c r="AY639" s="23"/>
      <c r="AZ639" s="1"/>
      <c r="BA639" s="23"/>
      <c r="BB639" s="23"/>
      <c r="BC639" s="1"/>
    </row>
    <row r="640" spans="1:55" x14ac:dyDescent="0.25">
      <c r="A640" s="1"/>
      <c r="B640" s="1"/>
      <c r="C640" s="1"/>
      <c r="D640" s="1"/>
      <c r="E640" s="1"/>
      <c r="F640" s="1"/>
      <c r="G640" s="1"/>
      <c r="H640" s="1"/>
      <c r="I640" s="23"/>
      <c r="J640" s="1"/>
      <c r="K640" s="23"/>
      <c r="L640" s="23"/>
      <c r="M640" s="1"/>
      <c r="N640" s="23"/>
      <c r="O640" s="23"/>
      <c r="P640" s="1"/>
      <c r="Q640" s="1"/>
      <c r="R640" s="1"/>
      <c r="S640" s="23"/>
      <c r="T640" s="1"/>
      <c r="U640" s="23"/>
      <c r="V640" s="23"/>
      <c r="W640" s="1"/>
      <c r="X640" s="23"/>
      <c r="Y640" s="23"/>
      <c r="Z640" s="1"/>
      <c r="AA640" s="1"/>
      <c r="AB640" s="1"/>
      <c r="AC640" s="1"/>
      <c r="AD640" s="23"/>
      <c r="AE640" s="1"/>
      <c r="AF640" s="23"/>
      <c r="AG640" s="23"/>
      <c r="AH640" s="1"/>
      <c r="AI640" s="23"/>
      <c r="AJ640" s="23"/>
      <c r="AK640" s="1"/>
      <c r="AL640" s="1"/>
      <c r="AM640" s="1"/>
      <c r="AN640" s="1"/>
      <c r="AO640" s="23"/>
      <c r="AP640" s="1"/>
      <c r="AQ640" s="23"/>
      <c r="AR640" s="23"/>
      <c r="AS640" s="1"/>
      <c r="AX640" s="1"/>
      <c r="AY640" s="23"/>
      <c r="AZ640" s="1"/>
      <c r="BA640" s="23"/>
      <c r="BB640" s="23"/>
      <c r="BC640" s="1"/>
    </row>
    <row r="641" spans="1:55" x14ac:dyDescent="0.25">
      <c r="A641" s="1"/>
      <c r="B641" s="1"/>
      <c r="C641" s="1"/>
      <c r="D641" s="1"/>
      <c r="E641" s="1"/>
      <c r="F641" s="1"/>
      <c r="G641" s="1"/>
      <c r="H641" s="1"/>
      <c r="I641" s="23"/>
      <c r="J641" s="1"/>
      <c r="K641" s="23"/>
      <c r="L641" s="23"/>
      <c r="M641" s="1"/>
      <c r="N641" s="23"/>
      <c r="O641" s="23"/>
      <c r="P641" s="1"/>
      <c r="Q641" s="1"/>
      <c r="R641" s="1"/>
      <c r="S641" s="23"/>
      <c r="T641" s="1"/>
      <c r="U641" s="23"/>
      <c r="V641" s="23"/>
      <c r="W641" s="1"/>
      <c r="X641" s="23"/>
      <c r="Y641" s="23"/>
      <c r="Z641" s="1"/>
      <c r="AA641" s="1"/>
      <c r="AB641" s="1"/>
      <c r="AC641" s="1"/>
      <c r="AD641" s="23"/>
      <c r="AE641" s="1"/>
      <c r="AF641" s="23"/>
      <c r="AG641" s="23"/>
      <c r="AH641" s="1"/>
      <c r="AI641" s="23"/>
      <c r="AJ641" s="23"/>
      <c r="AK641" s="1"/>
      <c r="AL641" s="1"/>
      <c r="AM641" s="1"/>
      <c r="AN641" s="1"/>
      <c r="AO641" s="23"/>
      <c r="AP641" s="1"/>
      <c r="AQ641" s="23"/>
      <c r="AR641" s="23"/>
      <c r="AS641" s="1"/>
      <c r="AX641" s="1"/>
      <c r="AY641" s="23"/>
      <c r="AZ641" s="1"/>
      <c r="BA641" s="23"/>
      <c r="BB641" s="23"/>
      <c r="BC641" s="1"/>
    </row>
    <row r="642" spans="1:55" x14ac:dyDescent="0.25">
      <c r="A642" s="1"/>
      <c r="B642" s="1"/>
      <c r="C642" s="1"/>
      <c r="D642" s="1"/>
      <c r="E642" s="1"/>
      <c r="F642" s="1"/>
      <c r="G642" s="1"/>
      <c r="H642" s="1"/>
      <c r="I642" s="23"/>
      <c r="J642" s="1"/>
      <c r="K642" s="23"/>
      <c r="L642" s="23"/>
      <c r="M642" s="1"/>
      <c r="N642" s="23"/>
      <c r="O642" s="23"/>
      <c r="P642" s="1"/>
      <c r="Q642" s="1"/>
      <c r="R642" s="1"/>
      <c r="S642" s="23"/>
      <c r="T642" s="1"/>
      <c r="U642" s="23"/>
      <c r="V642" s="23"/>
      <c r="W642" s="1"/>
      <c r="X642" s="23"/>
      <c r="Y642" s="23"/>
      <c r="Z642" s="1"/>
      <c r="AA642" s="1"/>
      <c r="AB642" s="1"/>
      <c r="AC642" s="1"/>
      <c r="AD642" s="23"/>
      <c r="AE642" s="1"/>
      <c r="AF642" s="23"/>
      <c r="AG642" s="23"/>
      <c r="AH642" s="1"/>
      <c r="AI642" s="23"/>
      <c r="AJ642" s="23"/>
      <c r="AK642" s="1"/>
      <c r="AL642" s="1"/>
      <c r="AM642" s="1"/>
      <c r="AN642" s="1"/>
      <c r="AO642" s="23"/>
      <c r="AP642" s="1"/>
      <c r="AQ642" s="23"/>
      <c r="AR642" s="23"/>
      <c r="AS642" s="1"/>
      <c r="AX642" s="1"/>
      <c r="AY642" s="23"/>
      <c r="AZ642" s="1"/>
      <c r="BA642" s="23"/>
      <c r="BB642" s="23"/>
      <c r="BC642" s="1"/>
    </row>
    <row r="643" spans="1:55" x14ac:dyDescent="0.25">
      <c r="A643" s="1"/>
      <c r="B643" s="1"/>
      <c r="C643" s="1"/>
      <c r="D643" s="1"/>
      <c r="E643" s="1"/>
      <c r="F643" s="1"/>
      <c r="G643" s="1"/>
      <c r="H643" s="1"/>
      <c r="I643" s="23"/>
      <c r="J643" s="1"/>
      <c r="K643" s="23"/>
      <c r="L643" s="23"/>
      <c r="M643" s="1"/>
      <c r="N643" s="23"/>
      <c r="O643" s="23"/>
      <c r="P643" s="1"/>
      <c r="Q643" s="1"/>
      <c r="R643" s="1"/>
      <c r="S643" s="23"/>
      <c r="T643" s="1"/>
      <c r="U643" s="23"/>
      <c r="V643" s="23"/>
      <c r="W643" s="1"/>
      <c r="X643" s="23"/>
      <c r="Y643" s="23"/>
      <c r="Z643" s="1"/>
      <c r="AA643" s="1"/>
      <c r="AB643" s="1"/>
      <c r="AC643" s="1"/>
      <c r="AD643" s="23"/>
      <c r="AE643" s="1"/>
      <c r="AF643" s="23"/>
      <c r="AG643" s="23"/>
      <c r="AH643" s="1"/>
      <c r="AI643" s="23"/>
      <c r="AJ643" s="23"/>
      <c r="AK643" s="1"/>
      <c r="AL643" s="1"/>
      <c r="AM643" s="1"/>
      <c r="AN643" s="1"/>
      <c r="AO643" s="23"/>
      <c r="AP643" s="1"/>
      <c r="AQ643" s="23"/>
      <c r="AR643" s="23"/>
      <c r="AS643" s="1"/>
      <c r="AX643" s="1"/>
      <c r="AY643" s="23"/>
      <c r="AZ643" s="1"/>
      <c r="BA643" s="23"/>
      <c r="BB643" s="23"/>
      <c r="BC643" s="1"/>
    </row>
    <row r="644" spans="1:55" x14ac:dyDescent="0.25">
      <c r="A644" s="1"/>
      <c r="B644" s="1"/>
      <c r="C644" s="1"/>
      <c r="D644" s="1"/>
      <c r="E644" s="1"/>
      <c r="F644" s="1"/>
      <c r="G644" s="1"/>
      <c r="H644" s="1"/>
      <c r="I644" s="23"/>
      <c r="J644" s="1"/>
      <c r="K644" s="23"/>
      <c r="L644" s="23"/>
      <c r="M644" s="1"/>
      <c r="N644" s="23"/>
      <c r="O644" s="23"/>
      <c r="P644" s="1"/>
      <c r="Q644" s="1"/>
      <c r="R644" s="1"/>
      <c r="S644" s="23"/>
      <c r="T644" s="1"/>
      <c r="U644" s="23"/>
      <c r="V644" s="23"/>
      <c r="W644" s="1"/>
      <c r="X644" s="23"/>
      <c r="Y644" s="23"/>
      <c r="Z644" s="1"/>
      <c r="AA644" s="1"/>
      <c r="AB644" s="1"/>
      <c r="AC644" s="1"/>
      <c r="AD644" s="23"/>
      <c r="AE644" s="1"/>
      <c r="AF644" s="23"/>
      <c r="AG644" s="23"/>
      <c r="AH644" s="1"/>
      <c r="AI644" s="23"/>
      <c r="AJ644" s="23"/>
      <c r="AK644" s="1"/>
      <c r="AL644" s="1"/>
      <c r="AM644" s="1"/>
      <c r="AN644" s="1"/>
      <c r="AO644" s="23"/>
      <c r="AP644" s="1"/>
      <c r="AQ644" s="23"/>
      <c r="AR644" s="23"/>
      <c r="AS644" s="1"/>
      <c r="AX644" s="1"/>
      <c r="AY644" s="23"/>
      <c r="AZ644" s="1"/>
      <c r="BA644" s="23"/>
      <c r="BB644" s="23"/>
      <c r="BC644" s="1"/>
    </row>
    <row r="645" spans="1:55" x14ac:dyDescent="0.25">
      <c r="A645" s="1"/>
      <c r="B645" s="1"/>
      <c r="C645" s="1"/>
      <c r="D645" s="1"/>
      <c r="E645" s="1"/>
      <c r="F645" s="1"/>
      <c r="G645" s="1"/>
      <c r="H645" s="1"/>
      <c r="I645" s="23"/>
      <c r="J645" s="1"/>
      <c r="K645" s="23"/>
      <c r="L645" s="23"/>
      <c r="M645" s="1"/>
      <c r="N645" s="23"/>
      <c r="O645" s="23"/>
      <c r="P645" s="1"/>
      <c r="Q645" s="1"/>
      <c r="R645" s="1"/>
      <c r="S645" s="23"/>
      <c r="T645" s="1"/>
      <c r="U645" s="23"/>
      <c r="V645" s="23"/>
      <c r="W645" s="1"/>
      <c r="X645" s="23"/>
      <c r="Y645" s="23"/>
      <c r="Z645" s="1"/>
      <c r="AA645" s="1"/>
      <c r="AB645" s="1"/>
      <c r="AC645" s="1"/>
      <c r="AD645" s="23"/>
      <c r="AE645" s="1"/>
      <c r="AF645" s="23"/>
      <c r="AG645" s="23"/>
      <c r="AH645" s="1"/>
      <c r="AI645" s="23"/>
      <c r="AJ645" s="23"/>
      <c r="AK645" s="1"/>
      <c r="AL645" s="1"/>
      <c r="AM645" s="1"/>
      <c r="AN645" s="1"/>
      <c r="AO645" s="23"/>
      <c r="AP645" s="1"/>
      <c r="AQ645" s="23"/>
      <c r="AR645" s="23"/>
      <c r="AS645" s="1"/>
      <c r="AX645" s="1"/>
      <c r="AY645" s="23"/>
      <c r="AZ645" s="1"/>
      <c r="BA645" s="23"/>
      <c r="BB645" s="23"/>
      <c r="BC645" s="1"/>
    </row>
    <row r="646" spans="1:55" x14ac:dyDescent="0.25">
      <c r="A646" s="1"/>
      <c r="B646" s="1"/>
      <c r="C646" s="1"/>
      <c r="D646" s="1"/>
      <c r="E646" s="1"/>
      <c r="F646" s="1"/>
      <c r="G646" s="1"/>
      <c r="H646" s="1"/>
      <c r="I646" s="23"/>
      <c r="J646" s="1"/>
      <c r="K646" s="23"/>
      <c r="L646" s="23"/>
      <c r="M646" s="1"/>
      <c r="N646" s="23"/>
      <c r="O646" s="23"/>
      <c r="P646" s="1"/>
      <c r="Q646" s="1"/>
      <c r="R646" s="1"/>
      <c r="S646" s="23"/>
      <c r="T646" s="1"/>
      <c r="U646" s="23"/>
      <c r="V646" s="23"/>
      <c r="W646" s="1"/>
      <c r="X646" s="23"/>
      <c r="Y646" s="23"/>
      <c r="Z646" s="1"/>
      <c r="AA646" s="1"/>
      <c r="AB646" s="1"/>
      <c r="AC646" s="1"/>
      <c r="AD646" s="23"/>
      <c r="AE646" s="1"/>
      <c r="AF646" s="23"/>
      <c r="AG646" s="23"/>
      <c r="AH646" s="1"/>
      <c r="AI646" s="23"/>
      <c r="AJ646" s="23"/>
      <c r="AK646" s="1"/>
      <c r="AL646" s="1"/>
      <c r="AM646" s="1"/>
      <c r="AN646" s="1"/>
      <c r="AO646" s="23"/>
      <c r="AP646" s="1"/>
      <c r="AQ646" s="23"/>
      <c r="AR646" s="23"/>
      <c r="AS646" s="1"/>
      <c r="AX646" s="1"/>
      <c r="AY646" s="23"/>
      <c r="AZ646" s="1"/>
      <c r="BA646" s="23"/>
      <c r="BB646" s="23"/>
      <c r="BC646" s="1"/>
    </row>
    <row r="647" spans="1:55" x14ac:dyDescent="0.25">
      <c r="A647" s="1"/>
      <c r="B647" s="1"/>
      <c r="C647" s="1"/>
      <c r="D647" s="1"/>
      <c r="E647" s="1"/>
      <c r="F647" s="1"/>
      <c r="G647" s="1"/>
      <c r="H647" s="1"/>
      <c r="I647" s="23"/>
      <c r="J647" s="1"/>
      <c r="K647" s="23"/>
      <c r="L647" s="23"/>
      <c r="M647" s="1"/>
      <c r="N647" s="23"/>
      <c r="O647" s="23"/>
      <c r="P647" s="1"/>
      <c r="Q647" s="1"/>
      <c r="R647" s="1"/>
      <c r="S647" s="23"/>
      <c r="T647" s="1"/>
      <c r="U647" s="23"/>
      <c r="V647" s="23"/>
      <c r="W647" s="1"/>
      <c r="X647" s="23"/>
      <c r="Y647" s="23"/>
      <c r="Z647" s="1"/>
      <c r="AA647" s="1"/>
      <c r="AB647" s="1"/>
      <c r="AC647" s="1"/>
      <c r="AD647" s="23"/>
      <c r="AE647" s="1"/>
      <c r="AF647" s="23"/>
      <c r="AG647" s="23"/>
      <c r="AH647" s="1"/>
      <c r="AI647" s="23"/>
      <c r="AJ647" s="23"/>
      <c r="AK647" s="1"/>
      <c r="AL647" s="1"/>
      <c r="AM647" s="1"/>
      <c r="AN647" s="1"/>
      <c r="AO647" s="23"/>
      <c r="AP647" s="1"/>
      <c r="AQ647" s="23"/>
      <c r="AR647" s="23"/>
      <c r="AS647" s="1"/>
      <c r="AX647" s="1"/>
      <c r="AY647" s="23"/>
      <c r="AZ647" s="1"/>
      <c r="BA647" s="23"/>
      <c r="BB647" s="23"/>
      <c r="BC647" s="1"/>
    </row>
    <row r="648" spans="1:55" x14ac:dyDescent="0.25">
      <c r="A648" s="1"/>
      <c r="B648" s="1"/>
      <c r="C648" s="1"/>
      <c r="D648" s="1"/>
      <c r="E648" s="1"/>
      <c r="F648" s="1"/>
      <c r="G648" s="1"/>
      <c r="H648" s="1"/>
      <c r="I648" s="23"/>
      <c r="J648" s="1"/>
      <c r="K648" s="23"/>
      <c r="L648" s="23"/>
      <c r="M648" s="1"/>
      <c r="N648" s="23"/>
      <c r="O648" s="23"/>
      <c r="P648" s="1"/>
      <c r="Q648" s="1"/>
      <c r="R648" s="1"/>
      <c r="S648" s="23"/>
      <c r="T648" s="1"/>
      <c r="U648" s="23"/>
      <c r="V648" s="23"/>
      <c r="W648" s="1"/>
      <c r="X648" s="23"/>
      <c r="Y648" s="23"/>
      <c r="Z648" s="1"/>
      <c r="AA648" s="1"/>
      <c r="AB648" s="1"/>
      <c r="AC648" s="1"/>
      <c r="AD648" s="23"/>
      <c r="AE648" s="1"/>
      <c r="AF648" s="23"/>
      <c r="AG648" s="23"/>
      <c r="AH648" s="1"/>
      <c r="AI648" s="23"/>
      <c r="AJ648" s="23"/>
      <c r="AK648" s="1"/>
      <c r="AL648" s="1"/>
      <c r="AM648" s="1"/>
      <c r="AN648" s="1"/>
      <c r="AO648" s="23"/>
      <c r="AP648" s="1"/>
      <c r="AQ648" s="23"/>
      <c r="AR648" s="23"/>
      <c r="AS648" s="1"/>
      <c r="AX648" s="1"/>
      <c r="AY648" s="23"/>
      <c r="AZ648" s="1"/>
      <c r="BA648" s="23"/>
      <c r="BB648" s="23"/>
      <c r="BC648" s="1"/>
    </row>
    <row r="649" spans="1:55" x14ac:dyDescent="0.25">
      <c r="A649" s="1"/>
      <c r="B649" s="1"/>
      <c r="C649" s="1"/>
      <c r="D649" s="1"/>
      <c r="E649" s="1"/>
      <c r="F649" s="1"/>
      <c r="G649" s="1"/>
      <c r="H649" s="1"/>
      <c r="I649" s="23"/>
      <c r="J649" s="1"/>
      <c r="K649" s="23"/>
      <c r="L649" s="23"/>
      <c r="M649" s="1"/>
      <c r="N649" s="23"/>
      <c r="O649" s="23"/>
      <c r="P649" s="1"/>
      <c r="Q649" s="1"/>
      <c r="R649" s="1"/>
      <c r="S649" s="23"/>
      <c r="T649" s="1"/>
      <c r="U649" s="23"/>
      <c r="V649" s="23"/>
      <c r="W649" s="1"/>
      <c r="X649" s="23"/>
      <c r="Y649" s="23"/>
      <c r="Z649" s="1"/>
      <c r="AA649" s="1"/>
      <c r="AB649" s="1"/>
      <c r="AC649" s="1"/>
      <c r="AD649" s="23"/>
      <c r="AE649" s="1"/>
      <c r="AF649" s="23"/>
      <c r="AG649" s="23"/>
      <c r="AH649" s="1"/>
      <c r="AI649" s="23"/>
      <c r="AJ649" s="23"/>
      <c r="AK649" s="1"/>
      <c r="AL649" s="1"/>
      <c r="AM649" s="1"/>
      <c r="AN649" s="1"/>
      <c r="AO649" s="23"/>
      <c r="AP649" s="1"/>
      <c r="AQ649" s="23"/>
      <c r="AR649" s="23"/>
      <c r="AS649" s="1"/>
      <c r="AX649" s="1"/>
      <c r="AY649" s="23"/>
      <c r="AZ649" s="1"/>
      <c r="BA649" s="23"/>
      <c r="BB649" s="23"/>
      <c r="BC649" s="1"/>
    </row>
    <row r="650" spans="1:55" x14ac:dyDescent="0.25">
      <c r="A650" s="1"/>
      <c r="B650" s="1"/>
      <c r="C650" s="1"/>
      <c r="D650" s="1"/>
      <c r="E650" s="1"/>
      <c r="F650" s="1"/>
      <c r="G650" s="1"/>
      <c r="H650" s="1"/>
      <c r="I650" s="23"/>
      <c r="J650" s="1"/>
      <c r="K650" s="23"/>
      <c r="L650" s="23"/>
      <c r="M650" s="1"/>
      <c r="N650" s="23"/>
      <c r="O650" s="23"/>
      <c r="P650" s="1"/>
      <c r="Q650" s="1"/>
      <c r="R650" s="1"/>
      <c r="S650" s="23"/>
      <c r="T650" s="1"/>
      <c r="U650" s="23"/>
      <c r="V650" s="23"/>
      <c r="W650" s="1"/>
      <c r="X650" s="23"/>
      <c r="Y650" s="23"/>
      <c r="Z650" s="1"/>
      <c r="AA650" s="1"/>
      <c r="AB650" s="1"/>
      <c r="AC650" s="1"/>
      <c r="AD650" s="23"/>
      <c r="AE650" s="1"/>
      <c r="AF650" s="23"/>
      <c r="AG650" s="23"/>
      <c r="AH650" s="1"/>
      <c r="AI650" s="23"/>
      <c r="AJ650" s="23"/>
      <c r="AK650" s="1"/>
      <c r="AL650" s="1"/>
      <c r="AM650" s="1"/>
      <c r="AN650" s="1"/>
      <c r="AO650" s="23"/>
      <c r="AP650" s="1"/>
      <c r="AQ650" s="23"/>
      <c r="AR650" s="23"/>
      <c r="AS650" s="1"/>
      <c r="AX650" s="1"/>
      <c r="AY650" s="23"/>
      <c r="AZ650" s="1"/>
      <c r="BA650" s="23"/>
      <c r="BB650" s="23"/>
      <c r="BC650" s="1"/>
    </row>
    <row r="651" spans="1:55" x14ac:dyDescent="0.25">
      <c r="A651" s="1"/>
      <c r="B651" s="1"/>
      <c r="C651" s="1"/>
      <c r="D651" s="1"/>
      <c r="E651" s="1"/>
      <c r="F651" s="1"/>
      <c r="G651" s="1"/>
      <c r="H651" s="1"/>
      <c r="I651" s="23"/>
      <c r="J651" s="1"/>
      <c r="K651" s="23"/>
      <c r="L651" s="23"/>
      <c r="M651" s="1"/>
      <c r="N651" s="23"/>
      <c r="O651" s="23"/>
      <c r="P651" s="1"/>
      <c r="Q651" s="1"/>
      <c r="R651" s="1"/>
      <c r="S651" s="23"/>
      <c r="T651" s="1"/>
      <c r="U651" s="23"/>
      <c r="V651" s="23"/>
      <c r="W651" s="1"/>
      <c r="X651" s="23"/>
      <c r="Y651" s="23"/>
      <c r="Z651" s="1"/>
      <c r="AA651" s="1"/>
      <c r="AB651" s="1"/>
      <c r="AC651" s="1"/>
      <c r="AD651" s="23"/>
      <c r="AE651" s="1"/>
      <c r="AF651" s="23"/>
      <c r="AG651" s="23"/>
      <c r="AH651" s="1"/>
      <c r="AI651" s="23"/>
      <c r="AJ651" s="23"/>
      <c r="AK651" s="1"/>
      <c r="AL651" s="1"/>
      <c r="AM651" s="1"/>
      <c r="AN651" s="1"/>
      <c r="AO651" s="23"/>
      <c r="AP651" s="1"/>
      <c r="AQ651" s="23"/>
      <c r="AR651" s="23"/>
      <c r="AS651" s="1"/>
      <c r="AX651" s="1"/>
      <c r="AY651" s="23"/>
      <c r="AZ651" s="1"/>
      <c r="BA651" s="23"/>
      <c r="BB651" s="23"/>
      <c r="BC651" s="1"/>
    </row>
    <row r="652" spans="1:55" x14ac:dyDescent="0.25">
      <c r="A652" s="1"/>
      <c r="B652" s="1"/>
      <c r="C652" s="1"/>
      <c r="D652" s="1"/>
      <c r="E652" s="1"/>
      <c r="F652" s="1"/>
      <c r="G652" s="1"/>
      <c r="H652" s="1"/>
      <c r="I652" s="23"/>
      <c r="J652" s="1"/>
      <c r="K652" s="23"/>
      <c r="L652" s="23"/>
      <c r="M652" s="1"/>
      <c r="N652" s="23"/>
      <c r="O652" s="23"/>
      <c r="P652" s="1"/>
      <c r="Q652" s="1"/>
      <c r="R652" s="1"/>
      <c r="S652" s="23"/>
      <c r="T652" s="1"/>
      <c r="U652" s="23"/>
      <c r="V652" s="23"/>
      <c r="W652" s="1"/>
      <c r="X652" s="23"/>
      <c r="Y652" s="23"/>
      <c r="Z652" s="1"/>
      <c r="AA652" s="1"/>
      <c r="AB652" s="1"/>
      <c r="AC652" s="1"/>
      <c r="AD652" s="23"/>
      <c r="AE652" s="1"/>
      <c r="AF652" s="23"/>
      <c r="AG652" s="23"/>
      <c r="AH652" s="1"/>
      <c r="AI652" s="23"/>
      <c r="AJ652" s="23"/>
      <c r="AK652" s="1"/>
      <c r="AL652" s="1"/>
      <c r="AM652" s="1"/>
      <c r="AN652" s="1"/>
      <c r="AO652" s="23"/>
      <c r="AP652" s="1"/>
      <c r="AQ652" s="23"/>
      <c r="AR652" s="23"/>
      <c r="AS652" s="1"/>
      <c r="AX652" s="1"/>
      <c r="AY652" s="23"/>
      <c r="AZ652" s="1"/>
      <c r="BA652" s="23"/>
      <c r="BB652" s="23"/>
      <c r="BC652" s="1"/>
    </row>
    <row r="653" spans="1:55" x14ac:dyDescent="0.25">
      <c r="A653" s="1"/>
      <c r="B653" s="1"/>
      <c r="C653" s="1"/>
      <c r="D653" s="1"/>
      <c r="E653" s="1"/>
      <c r="F653" s="1"/>
      <c r="G653" s="1"/>
      <c r="H653" s="1"/>
      <c r="I653" s="23"/>
      <c r="J653" s="1"/>
      <c r="K653" s="23"/>
      <c r="L653" s="23"/>
      <c r="M653" s="1"/>
      <c r="N653" s="23"/>
      <c r="O653" s="23"/>
      <c r="P653" s="1"/>
      <c r="Q653" s="1"/>
      <c r="R653" s="1"/>
      <c r="S653" s="23"/>
      <c r="T653" s="1"/>
      <c r="U653" s="23"/>
      <c r="V653" s="23"/>
      <c r="W653" s="1"/>
      <c r="X653" s="23"/>
      <c r="Y653" s="23"/>
      <c r="Z653" s="1"/>
      <c r="AA653" s="1"/>
      <c r="AB653" s="1"/>
      <c r="AC653" s="1"/>
      <c r="AD653" s="23"/>
      <c r="AE653" s="1"/>
      <c r="AF653" s="23"/>
      <c r="AG653" s="23"/>
      <c r="AH653" s="1"/>
      <c r="AI653" s="23"/>
      <c r="AJ653" s="23"/>
      <c r="AK653" s="1"/>
      <c r="AL653" s="1"/>
      <c r="AM653" s="1"/>
      <c r="AN653" s="1"/>
      <c r="AO653" s="23"/>
      <c r="AP653" s="1"/>
      <c r="AQ653" s="23"/>
      <c r="AR653" s="23"/>
      <c r="AS653" s="1"/>
      <c r="AX653" s="1"/>
      <c r="AY653" s="23"/>
      <c r="AZ653" s="1"/>
      <c r="BA653" s="23"/>
      <c r="BB653" s="23"/>
      <c r="BC653" s="1"/>
    </row>
    <row r="654" spans="1:55" x14ac:dyDescent="0.25">
      <c r="A654" s="1"/>
      <c r="B654" s="1"/>
      <c r="C654" s="1"/>
      <c r="D654" s="1"/>
      <c r="E654" s="1"/>
      <c r="F654" s="1"/>
      <c r="G654" s="1"/>
      <c r="H654" s="1"/>
      <c r="I654" s="23"/>
      <c r="J654" s="1"/>
      <c r="K654" s="23"/>
      <c r="L654" s="23"/>
      <c r="M654" s="1"/>
      <c r="N654" s="23"/>
      <c r="O654" s="23"/>
      <c r="P654" s="1"/>
      <c r="Q654" s="1"/>
      <c r="R654" s="1"/>
      <c r="S654" s="23"/>
      <c r="T654" s="1"/>
      <c r="U654" s="23"/>
      <c r="V654" s="23"/>
      <c r="W654" s="1"/>
      <c r="X654" s="23"/>
      <c r="Y654" s="23"/>
      <c r="Z654" s="1"/>
      <c r="AA654" s="1"/>
      <c r="AB654" s="1"/>
      <c r="AC654" s="1"/>
      <c r="AD654" s="23"/>
      <c r="AE654" s="1"/>
      <c r="AF654" s="23"/>
      <c r="AG654" s="23"/>
      <c r="AH654" s="1"/>
      <c r="AI654" s="23"/>
      <c r="AJ654" s="23"/>
      <c r="AK654" s="1"/>
      <c r="AL654" s="1"/>
      <c r="AM654" s="1"/>
      <c r="AN654" s="1"/>
      <c r="AO654" s="23"/>
      <c r="AP654" s="1"/>
      <c r="AQ654" s="23"/>
      <c r="AR654" s="23"/>
      <c r="AS654" s="1"/>
      <c r="AX654" s="1"/>
      <c r="AY654" s="23"/>
      <c r="AZ654" s="1"/>
      <c r="BA654" s="23"/>
      <c r="BB654" s="23"/>
      <c r="BC654" s="1"/>
    </row>
    <row r="655" spans="1:55" x14ac:dyDescent="0.25">
      <c r="A655" s="1"/>
      <c r="B655" s="1"/>
      <c r="C655" s="1"/>
      <c r="D655" s="1"/>
      <c r="E655" s="1"/>
      <c r="F655" s="1"/>
      <c r="G655" s="1"/>
      <c r="H655" s="1"/>
      <c r="I655" s="23"/>
      <c r="J655" s="1"/>
      <c r="K655" s="23"/>
      <c r="L655" s="23"/>
      <c r="M655" s="1"/>
      <c r="N655" s="23"/>
      <c r="O655" s="23"/>
      <c r="P655" s="1"/>
      <c r="Q655" s="1"/>
      <c r="R655" s="1"/>
      <c r="S655" s="23"/>
      <c r="T655" s="1"/>
      <c r="U655" s="23"/>
      <c r="V655" s="23"/>
      <c r="W655" s="1"/>
      <c r="X655" s="23"/>
      <c r="Y655" s="23"/>
      <c r="Z655" s="1"/>
      <c r="AA655" s="1"/>
      <c r="AB655" s="1"/>
      <c r="AC655" s="1"/>
      <c r="AD655" s="23"/>
      <c r="AE655" s="1"/>
      <c r="AF655" s="23"/>
      <c r="AG655" s="23"/>
      <c r="AH655" s="1"/>
      <c r="AI655" s="23"/>
      <c r="AJ655" s="23"/>
      <c r="AK655" s="1"/>
      <c r="AL655" s="1"/>
      <c r="AM655" s="1"/>
      <c r="AN655" s="1"/>
      <c r="AO655" s="23"/>
      <c r="AP655" s="1"/>
      <c r="AQ655" s="23"/>
      <c r="AR655" s="23"/>
      <c r="AS655" s="1"/>
      <c r="AX655" s="1"/>
      <c r="AY655" s="23"/>
      <c r="AZ655" s="1"/>
      <c r="BA655" s="23"/>
      <c r="BB655" s="23"/>
      <c r="BC655" s="1"/>
    </row>
    <row r="656" spans="1:55" x14ac:dyDescent="0.25">
      <c r="A656" s="1"/>
      <c r="B656" s="1"/>
      <c r="C656" s="1"/>
      <c r="D656" s="1"/>
      <c r="E656" s="1"/>
      <c r="F656" s="1"/>
      <c r="G656" s="1"/>
      <c r="H656" s="1"/>
      <c r="I656" s="23"/>
      <c r="J656" s="1"/>
      <c r="K656" s="23"/>
      <c r="L656" s="23"/>
      <c r="M656" s="1"/>
      <c r="N656" s="23"/>
      <c r="O656" s="23"/>
      <c r="P656" s="1"/>
      <c r="Q656" s="1"/>
      <c r="R656" s="1"/>
      <c r="S656" s="23"/>
      <c r="T656" s="1"/>
      <c r="U656" s="23"/>
      <c r="V656" s="23"/>
      <c r="W656" s="1"/>
      <c r="X656" s="23"/>
      <c r="Y656" s="23"/>
      <c r="Z656" s="1"/>
      <c r="AA656" s="1"/>
      <c r="AB656" s="1"/>
      <c r="AC656" s="1"/>
      <c r="AD656" s="23"/>
      <c r="AE656" s="1"/>
      <c r="AF656" s="23"/>
      <c r="AG656" s="23"/>
      <c r="AH656" s="1"/>
      <c r="AI656" s="23"/>
      <c r="AJ656" s="23"/>
      <c r="AK656" s="1"/>
      <c r="AL656" s="1"/>
      <c r="AM656" s="1"/>
      <c r="AN656" s="1"/>
      <c r="AO656" s="23"/>
      <c r="AP656" s="1"/>
      <c r="AQ656" s="23"/>
      <c r="AR656" s="23"/>
      <c r="AS656" s="1"/>
      <c r="AX656" s="1"/>
      <c r="AY656" s="23"/>
      <c r="AZ656" s="1"/>
      <c r="BA656" s="23"/>
      <c r="BB656" s="23"/>
      <c r="BC656" s="1"/>
    </row>
    <row r="657" spans="1:55" x14ac:dyDescent="0.25">
      <c r="A657" s="1"/>
      <c r="B657" s="1"/>
      <c r="C657" s="1"/>
      <c r="D657" s="1"/>
      <c r="E657" s="1"/>
      <c r="F657" s="1"/>
      <c r="G657" s="1"/>
      <c r="H657" s="1"/>
      <c r="I657" s="23"/>
      <c r="J657" s="1"/>
      <c r="K657" s="23"/>
      <c r="L657" s="23"/>
      <c r="M657" s="1"/>
      <c r="N657" s="23"/>
      <c r="O657" s="23"/>
      <c r="P657" s="1"/>
      <c r="Q657" s="1"/>
      <c r="R657" s="1"/>
      <c r="S657" s="23"/>
      <c r="T657" s="1"/>
      <c r="U657" s="23"/>
      <c r="V657" s="23"/>
      <c r="W657" s="1"/>
      <c r="X657" s="23"/>
      <c r="Y657" s="23"/>
      <c r="Z657" s="1"/>
      <c r="AA657" s="1"/>
      <c r="AB657" s="1"/>
      <c r="AC657" s="1"/>
      <c r="AD657" s="23"/>
      <c r="AE657" s="1"/>
      <c r="AF657" s="23"/>
      <c r="AG657" s="23"/>
      <c r="AH657" s="1"/>
      <c r="AI657" s="23"/>
      <c r="AJ657" s="23"/>
      <c r="AK657" s="1"/>
      <c r="AL657" s="1"/>
      <c r="AM657" s="1"/>
      <c r="AN657" s="1"/>
      <c r="AO657" s="23"/>
      <c r="AP657" s="1"/>
      <c r="AQ657" s="23"/>
      <c r="AR657" s="23"/>
      <c r="AS657" s="1"/>
      <c r="AX657" s="1"/>
      <c r="AY657" s="23"/>
      <c r="AZ657" s="1"/>
      <c r="BA657" s="23"/>
      <c r="BB657" s="23"/>
      <c r="BC657" s="1"/>
    </row>
    <row r="658" spans="1:55" x14ac:dyDescent="0.25">
      <c r="A658" s="1"/>
      <c r="B658" s="1"/>
      <c r="C658" s="1"/>
      <c r="D658" s="1"/>
      <c r="E658" s="1"/>
      <c r="F658" s="1"/>
      <c r="G658" s="1"/>
      <c r="H658" s="1"/>
      <c r="I658" s="23"/>
      <c r="J658" s="1"/>
      <c r="K658" s="23"/>
      <c r="L658" s="23"/>
      <c r="M658" s="1"/>
      <c r="N658" s="23"/>
      <c r="O658" s="23"/>
      <c r="P658" s="1"/>
      <c r="Q658" s="1"/>
      <c r="R658" s="1"/>
      <c r="S658" s="23"/>
      <c r="T658" s="1"/>
      <c r="U658" s="23"/>
      <c r="V658" s="23"/>
      <c r="W658" s="1"/>
      <c r="X658" s="23"/>
      <c r="Y658" s="23"/>
      <c r="Z658" s="1"/>
      <c r="AA658" s="1"/>
      <c r="AB658" s="1"/>
      <c r="AC658" s="1"/>
      <c r="AD658" s="23"/>
      <c r="AE658" s="1"/>
      <c r="AF658" s="23"/>
      <c r="AG658" s="23"/>
      <c r="AH658" s="1"/>
      <c r="AI658" s="23"/>
      <c r="AJ658" s="23"/>
      <c r="AK658" s="1"/>
      <c r="AL658" s="1"/>
      <c r="AM658" s="1"/>
      <c r="AN658" s="1"/>
      <c r="AO658" s="23"/>
      <c r="AP658" s="1"/>
      <c r="AQ658" s="23"/>
      <c r="AR658" s="23"/>
      <c r="AS658" s="1"/>
      <c r="AX658" s="1"/>
      <c r="AY658" s="23"/>
      <c r="AZ658" s="1"/>
      <c r="BA658" s="23"/>
      <c r="BB658" s="23"/>
      <c r="BC658" s="1"/>
    </row>
    <row r="659" spans="1:55" x14ac:dyDescent="0.25">
      <c r="A659" s="1"/>
      <c r="B659" s="1"/>
      <c r="C659" s="1"/>
      <c r="D659" s="1"/>
      <c r="E659" s="1"/>
      <c r="F659" s="1"/>
      <c r="G659" s="1"/>
      <c r="H659" s="1"/>
      <c r="I659" s="23"/>
      <c r="J659" s="1"/>
      <c r="K659" s="23"/>
      <c r="L659" s="23"/>
      <c r="M659" s="1"/>
      <c r="N659" s="23"/>
      <c r="O659" s="23"/>
      <c r="P659" s="1"/>
      <c r="Q659" s="1"/>
      <c r="R659" s="1"/>
      <c r="S659" s="23"/>
      <c r="T659" s="1"/>
      <c r="U659" s="23"/>
      <c r="V659" s="23"/>
      <c r="W659" s="1"/>
      <c r="X659" s="23"/>
      <c r="Y659" s="23"/>
      <c r="Z659" s="1"/>
      <c r="AA659" s="1"/>
      <c r="AB659" s="1"/>
      <c r="AC659" s="1"/>
      <c r="AD659" s="23"/>
      <c r="AE659" s="1"/>
      <c r="AF659" s="23"/>
      <c r="AG659" s="23"/>
      <c r="AH659" s="1"/>
      <c r="AI659" s="23"/>
      <c r="AJ659" s="23"/>
      <c r="AK659" s="1"/>
      <c r="AL659" s="1"/>
      <c r="AM659" s="1"/>
      <c r="AN659" s="1"/>
      <c r="AO659" s="23"/>
      <c r="AP659" s="1"/>
      <c r="AQ659" s="23"/>
      <c r="AR659" s="23"/>
      <c r="AS659" s="1"/>
      <c r="AX659" s="1"/>
      <c r="AY659" s="23"/>
      <c r="AZ659" s="1"/>
      <c r="BA659" s="23"/>
      <c r="BB659" s="23"/>
      <c r="BC659" s="1"/>
    </row>
    <row r="660" spans="1:55" x14ac:dyDescent="0.25">
      <c r="A660" s="1"/>
      <c r="B660" s="1"/>
      <c r="C660" s="1"/>
      <c r="D660" s="1"/>
      <c r="E660" s="1"/>
      <c r="F660" s="1"/>
      <c r="G660" s="1"/>
      <c r="H660" s="1"/>
      <c r="I660" s="23"/>
      <c r="J660" s="1"/>
      <c r="K660" s="23"/>
      <c r="L660" s="23"/>
      <c r="M660" s="1"/>
      <c r="N660" s="23"/>
      <c r="O660" s="23"/>
      <c r="P660" s="1"/>
      <c r="Q660" s="1"/>
      <c r="R660" s="1"/>
      <c r="S660" s="23"/>
      <c r="T660" s="1"/>
      <c r="U660" s="23"/>
      <c r="V660" s="23"/>
      <c r="W660" s="1"/>
      <c r="X660" s="23"/>
      <c r="Y660" s="23"/>
      <c r="Z660" s="1"/>
      <c r="AA660" s="1"/>
      <c r="AB660" s="1"/>
      <c r="AC660" s="1"/>
      <c r="AD660" s="23"/>
      <c r="AE660" s="1"/>
      <c r="AF660" s="23"/>
      <c r="AG660" s="23"/>
      <c r="AH660" s="1"/>
      <c r="AI660" s="23"/>
      <c r="AJ660" s="23"/>
      <c r="AK660" s="1"/>
      <c r="AL660" s="1"/>
      <c r="AM660" s="1"/>
      <c r="AN660" s="1"/>
      <c r="AO660" s="23"/>
      <c r="AP660" s="1"/>
      <c r="AQ660" s="23"/>
      <c r="AR660" s="23"/>
      <c r="AS660" s="1"/>
      <c r="AX660" s="1"/>
      <c r="AY660" s="23"/>
      <c r="AZ660" s="1"/>
      <c r="BA660" s="23"/>
      <c r="BB660" s="23"/>
      <c r="BC660" s="1"/>
    </row>
    <row r="661" spans="1:55" x14ac:dyDescent="0.25">
      <c r="A661" s="1"/>
      <c r="B661" s="1"/>
      <c r="C661" s="1"/>
      <c r="D661" s="1"/>
      <c r="E661" s="1"/>
      <c r="F661" s="1"/>
      <c r="G661" s="1"/>
      <c r="H661" s="1"/>
      <c r="I661" s="23"/>
      <c r="J661" s="1"/>
      <c r="K661" s="23"/>
      <c r="L661" s="23"/>
      <c r="M661" s="1"/>
      <c r="N661" s="23"/>
      <c r="O661" s="23"/>
      <c r="P661" s="1"/>
      <c r="Q661" s="1"/>
      <c r="R661" s="1"/>
      <c r="S661" s="23"/>
      <c r="T661" s="1"/>
      <c r="U661" s="23"/>
      <c r="V661" s="23"/>
      <c r="W661" s="1"/>
      <c r="X661" s="23"/>
      <c r="Y661" s="23"/>
      <c r="Z661" s="1"/>
      <c r="AA661" s="1"/>
      <c r="AB661" s="1"/>
      <c r="AC661" s="1"/>
      <c r="AD661" s="23"/>
      <c r="AE661" s="1"/>
      <c r="AF661" s="23"/>
      <c r="AG661" s="23"/>
      <c r="AH661" s="1"/>
      <c r="AI661" s="23"/>
      <c r="AJ661" s="23"/>
      <c r="AK661" s="1"/>
      <c r="AL661" s="1"/>
      <c r="AM661" s="1"/>
      <c r="AN661" s="1"/>
      <c r="AO661" s="23"/>
      <c r="AP661" s="1"/>
      <c r="AQ661" s="23"/>
      <c r="AR661" s="23"/>
      <c r="AS661" s="1"/>
      <c r="AX661" s="1"/>
      <c r="AY661" s="23"/>
      <c r="AZ661" s="1"/>
      <c r="BA661" s="23"/>
      <c r="BB661" s="23"/>
      <c r="BC661" s="1"/>
    </row>
    <row r="662" spans="1:55" x14ac:dyDescent="0.25">
      <c r="A662" s="1"/>
      <c r="B662" s="1"/>
      <c r="C662" s="1"/>
      <c r="D662" s="1"/>
      <c r="E662" s="1"/>
      <c r="F662" s="1"/>
      <c r="G662" s="1"/>
      <c r="H662" s="1"/>
      <c r="I662" s="23"/>
      <c r="J662" s="1"/>
      <c r="K662" s="23"/>
      <c r="L662" s="23"/>
      <c r="M662" s="1"/>
      <c r="N662" s="23"/>
      <c r="O662" s="23"/>
      <c r="P662" s="1"/>
      <c r="Q662" s="1"/>
      <c r="R662" s="1"/>
      <c r="S662" s="23"/>
      <c r="T662" s="1"/>
      <c r="U662" s="23"/>
      <c r="V662" s="23"/>
      <c r="W662" s="1"/>
      <c r="X662" s="23"/>
      <c r="Y662" s="23"/>
      <c r="Z662" s="1"/>
      <c r="AA662" s="1"/>
      <c r="AB662" s="1"/>
      <c r="AC662" s="1"/>
      <c r="AD662" s="23"/>
      <c r="AE662" s="1"/>
      <c r="AF662" s="23"/>
      <c r="AG662" s="23"/>
      <c r="AH662" s="1"/>
      <c r="AI662" s="23"/>
      <c r="AJ662" s="23"/>
      <c r="AK662" s="1"/>
      <c r="AL662" s="1"/>
      <c r="AM662" s="1"/>
      <c r="AN662" s="1"/>
      <c r="AO662" s="23"/>
      <c r="AP662" s="1"/>
      <c r="AQ662" s="23"/>
      <c r="AR662" s="23"/>
      <c r="AS662" s="1"/>
      <c r="AX662" s="1"/>
      <c r="AY662" s="23"/>
      <c r="AZ662" s="1"/>
      <c r="BA662" s="23"/>
      <c r="BB662" s="23"/>
      <c r="BC662" s="1"/>
    </row>
    <row r="663" spans="1:55" x14ac:dyDescent="0.25">
      <c r="A663" s="1"/>
      <c r="B663" s="1"/>
      <c r="C663" s="1"/>
      <c r="D663" s="1"/>
      <c r="E663" s="1"/>
      <c r="F663" s="1"/>
      <c r="G663" s="1"/>
      <c r="H663" s="1"/>
      <c r="I663" s="23"/>
      <c r="J663" s="1"/>
      <c r="K663" s="23"/>
      <c r="L663" s="23"/>
      <c r="M663" s="1"/>
      <c r="N663" s="23"/>
      <c r="O663" s="23"/>
      <c r="P663" s="1"/>
      <c r="Q663" s="1"/>
      <c r="R663" s="1"/>
      <c r="S663" s="23"/>
      <c r="T663" s="1"/>
      <c r="U663" s="23"/>
      <c r="V663" s="23"/>
      <c r="W663" s="1"/>
      <c r="X663" s="23"/>
      <c r="Y663" s="23"/>
      <c r="Z663" s="1"/>
      <c r="AA663" s="1"/>
      <c r="AB663" s="1"/>
      <c r="AC663" s="1"/>
      <c r="AD663" s="23"/>
      <c r="AE663" s="1"/>
      <c r="AF663" s="23"/>
      <c r="AG663" s="23"/>
      <c r="AH663" s="1"/>
      <c r="AI663" s="23"/>
      <c r="AJ663" s="23"/>
      <c r="AK663" s="1"/>
      <c r="AL663" s="1"/>
      <c r="AM663" s="1"/>
      <c r="AN663" s="1"/>
      <c r="AO663" s="23"/>
      <c r="AP663" s="1"/>
      <c r="AQ663" s="23"/>
      <c r="AR663" s="23"/>
      <c r="AS663" s="1"/>
      <c r="AX663" s="1"/>
      <c r="AY663" s="23"/>
      <c r="AZ663" s="1"/>
      <c r="BA663" s="23"/>
      <c r="BB663" s="23"/>
      <c r="BC663" s="1"/>
    </row>
    <row r="664" spans="1:55" x14ac:dyDescent="0.25">
      <c r="A664" s="1"/>
      <c r="B664" s="1"/>
      <c r="C664" s="1"/>
      <c r="D664" s="1"/>
      <c r="E664" s="1"/>
      <c r="F664" s="1"/>
      <c r="G664" s="1"/>
      <c r="H664" s="1"/>
      <c r="I664" s="23"/>
      <c r="J664" s="1"/>
      <c r="K664" s="23"/>
      <c r="L664" s="23"/>
      <c r="M664" s="1"/>
      <c r="N664" s="23"/>
      <c r="O664" s="23"/>
      <c r="P664" s="1"/>
      <c r="Q664" s="1"/>
      <c r="R664" s="1"/>
      <c r="S664" s="23"/>
      <c r="T664" s="1"/>
      <c r="U664" s="23"/>
      <c r="V664" s="23"/>
      <c r="W664" s="1"/>
      <c r="X664" s="23"/>
      <c r="Y664" s="23"/>
      <c r="Z664" s="1"/>
      <c r="AA664" s="1"/>
      <c r="AB664" s="1"/>
      <c r="AC664" s="1"/>
      <c r="AD664" s="23"/>
      <c r="AE664" s="1"/>
      <c r="AF664" s="23"/>
      <c r="AG664" s="23"/>
      <c r="AH664" s="1"/>
      <c r="AI664" s="23"/>
      <c r="AJ664" s="23"/>
      <c r="AK664" s="1"/>
      <c r="AL664" s="1"/>
      <c r="AM664" s="1"/>
      <c r="AN664" s="1"/>
      <c r="AO664" s="23"/>
      <c r="AP664" s="1"/>
      <c r="AQ664" s="23"/>
      <c r="AR664" s="23"/>
      <c r="AS664" s="1"/>
      <c r="AX664" s="1"/>
      <c r="AY664" s="23"/>
      <c r="AZ664" s="1"/>
      <c r="BA664" s="23"/>
      <c r="BB664" s="23"/>
      <c r="BC664" s="1"/>
    </row>
    <row r="665" spans="1:55" x14ac:dyDescent="0.25">
      <c r="A665" s="1"/>
      <c r="B665" s="1"/>
      <c r="C665" s="1"/>
      <c r="D665" s="1"/>
      <c r="E665" s="1"/>
      <c r="F665" s="1"/>
      <c r="G665" s="1"/>
      <c r="H665" s="1"/>
      <c r="I665" s="23"/>
      <c r="J665" s="1"/>
      <c r="K665" s="23"/>
      <c r="L665" s="23"/>
      <c r="M665" s="1"/>
      <c r="N665" s="23"/>
      <c r="O665" s="23"/>
      <c r="P665" s="1"/>
      <c r="Q665" s="1"/>
      <c r="R665" s="1"/>
      <c r="S665" s="23"/>
      <c r="T665" s="1"/>
      <c r="U665" s="23"/>
      <c r="V665" s="23"/>
      <c r="W665" s="1"/>
      <c r="X665" s="23"/>
      <c r="Y665" s="23"/>
      <c r="Z665" s="1"/>
      <c r="AA665" s="1"/>
      <c r="AB665" s="1"/>
      <c r="AC665" s="1"/>
      <c r="AD665" s="23"/>
      <c r="AE665" s="1"/>
      <c r="AF665" s="23"/>
      <c r="AG665" s="23"/>
      <c r="AH665" s="1"/>
      <c r="AI665" s="23"/>
      <c r="AJ665" s="23"/>
      <c r="AK665" s="1"/>
      <c r="AL665" s="1"/>
      <c r="AM665" s="1"/>
      <c r="AN665" s="1"/>
      <c r="AO665" s="23"/>
      <c r="AP665" s="1"/>
      <c r="AQ665" s="23"/>
      <c r="AR665" s="23"/>
      <c r="AS665" s="1"/>
      <c r="AX665" s="1"/>
      <c r="AY665" s="23"/>
      <c r="AZ665" s="1"/>
      <c r="BA665" s="23"/>
      <c r="BB665" s="23"/>
      <c r="BC665" s="1"/>
    </row>
    <row r="666" spans="1:55" x14ac:dyDescent="0.25">
      <c r="A666" s="1"/>
      <c r="B666" s="1"/>
      <c r="C666" s="1"/>
      <c r="D666" s="1"/>
      <c r="E666" s="1"/>
      <c r="F666" s="1"/>
      <c r="G666" s="1"/>
      <c r="H666" s="1"/>
      <c r="I666" s="23"/>
      <c r="J666" s="1"/>
      <c r="K666" s="23"/>
      <c r="L666" s="23"/>
      <c r="M666" s="1"/>
      <c r="N666" s="23"/>
      <c r="O666" s="23"/>
      <c r="P666" s="1"/>
      <c r="Q666" s="1"/>
      <c r="R666" s="1"/>
      <c r="S666" s="23"/>
      <c r="T666" s="1"/>
      <c r="U666" s="23"/>
      <c r="V666" s="23"/>
      <c r="W666" s="1"/>
      <c r="X666" s="23"/>
      <c r="Y666" s="23"/>
      <c r="Z666" s="1"/>
      <c r="AA666" s="1"/>
      <c r="AB666" s="1"/>
      <c r="AC666" s="1"/>
      <c r="AD666" s="23"/>
      <c r="AE666" s="1"/>
      <c r="AF666" s="23"/>
      <c r="AG666" s="23"/>
      <c r="AH666" s="1"/>
      <c r="AI666" s="23"/>
      <c r="AJ666" s="23"/>
      <c r="AK666" s="1"/>
      <c r="AL666" s="1"/>
      <c r="AM666" s="1"/>
      <c r="AN666" s="1"/>
      <c r="AO666" s="23"/>
      <c r="AP666" s="1"/>
      <c r="AQ666" s="23"/>
      <c r="AR666" s="23"/>
      <c r="AS666" s="1"/>
      <c r="AX666" s="1"/>
      <c r="AY666" s="23"/>
      <c r="AZ666" s="1"/>
      <c r="BA666" s="23"/>
      <c r="BB666" s="23"/>
      <c r="BC666" s="1"/>
    </row>
    <row r="667" spans="1:55" x14ac:dyDescent="0.25">
      <c r="A667" s="1"/>
      <c r="B667" s="1"/>
      <c r="C667" s="1"/>
      <c r="D667" s="1"/>
      <c r="E667" s="1"/>
      <c r="F667" s="1"/>
      <c r="G667" s="1"/>
      <c r="H667" s="1"/>
      <c r="I667" s="23"/>
      <c r="J667" s="1"/>
      <c r="K667" s="23"/>
      <c r="L667" s="23"/>
      <c r="M667" s="1"/>
      <c r="N667" s="23"/>
      <c r="O667" s="23"/>
      <c r="P667" s="1"/>
      <c r="Q667" s="1"/>
      <c r="R667" s="1"/>
      <c r="S667" s="23"/>
      <c r="T667" s="1"/>
      <c r="U667" s="23"/>
      <c r="V667" s="23"/>
      <c r="W667" s="1"/>
      <c r="X667" s="23"/>
      <c r="Y667" s="23"/>
      <c r="Z667" s="1"/>
      <c r="AA667" s="1"/>
      <c r="AB667" s="1"/>
      <c r="AC667" s="1"/>
      <c r="AD667" s="23"/>
      <c r="AE667" s="1"/>
      <c r="AF667" s="23"/>
      <c r="AG667" s="23"/>
      <c r="AH667" s="1"/>
      <c r="AI667" s="23"/>
      <c r="AJ667" s="23"/>
      <c r="AK667" s="1"/>
      <c r="AL667" s="1"/>
      <c r="AM667" s="1"/>
      <c r="AN667" s="1"/>
      <c r="AO667" s="23"/>
      <c r="AP667" s="1"/>
      <c r="AQ667" s="23"/>
      <c r="AR667" s="23"/>
      <c r="AS667" s="1"/>
      <c r="AX667" s="1"/>
      <c r="AY667" s="23"/>
      <c r="AZ667" s="1"/>
      <c r="BA667" s="23"/>
      <c r="BB667" s="23"/>
      <c r="BC667" s="1"/>
    </row>
    <row r="668" spans="1:55" x14ac:dyDescent="0.25">
      <c r="A668" s="1"/>
      <c r="B668" s="1"/>
      <c r="C668" s="1"/>
      <c r="D668" s="1"/>
      <c r="E668" s="1"/>
      <c r="F668" s="1"/>
      <c r="G668" s="1"/>
      <c r="H668" s="1"/>
      <c r="I668" s="23"/>
      <c r="J668" s="1"/>
      <c r="K668" s="23"/>
      <c r="L668" s="23"/>
      <c r="M668" s="1"/>
      <c r="N668" s="23"/>
      <c r="O668" s="23"/>
      <c r="P668" s="1"/>
      <c r="Q668" s="1"/>
      <c r="R668" s="1"/>
      <c r="S668" s="23"/>
      <c r="T668" s="1"/>
      <c r="U668" s="23"/>
      <c r="V668" s="23"/>
      <c r="W668" s="1"/>
      <c r="X668" s="23"/>
      <c r="Y668" s="23"/>
      <c r="Z668" s="1"/>
      <c r="AA668" s="1"/>
      <c r="AB668" s="1"/>
      <c r="AC668" s="1"/>
      <c r="AD668" s="23"/>
      <c r="AE668" s="1"/>
      <c r="AF668" s="23"/>
      <c r="AG668" s="23"/>
      <c r="AH668" s="1"/>
      <c r="AI668" s="23"/>
      <c r="AJ668" s="23"/>
      <c r="AK668" s="1"/>
      <c r="AL668" s="1"/>
      <c r="AM668" s="1"/>
      <c r="AN668" s="1"/>
      <c r="AO668" s="23"/>
      <c r="AP668" s="1"/>
      <c r="AQ668" s="23"/>
      <c r="AR668" s="23"/>
      <c r="AS668" s="1"/>
      <c r="AX668" s="1"/>
      <c r="AY668" s="23"/>
      <c r="AZ668" s="1"/>
      <c r="BA668" s="23"/>
      <c r="BB668" s="23"/>
      <c r="BC668" s="1"/>
    </row>
    <row r="669" spans="1:55" x14ac:dyDescent="0.25">
      <c r="A669" s="1"/>
      <c r="B669" s="1"/>
      <c r="C669" s="1"/>
      <c r="D669" s="1"/>
      <c r="E669" s="1"/>
      <c r="F669" s="1"/>
      <c r="G669" s="1"/>
      <c r="H669" s="1"/>
      <c r="I669" s="23"/>
      <c r="J669" s="1"/>
      <c r="K669" s="23"/>
      <c r="L669" s="23"/>
      <c r="M669" s="1"/>
      <c r="N669" s="23"/>
      <c r="O669" s="23"/>
      <c r="P669" s="1"/>
      <c r="Q669" s="1"/>
      <c r="R669" s="1"/>
      <c r="S669" s="23"/>
      <c r="T669" s="1"/>
      <c r="U669" s="23"/>
      <c r="V669" s="23"/>
      <c r="W669" s="1"/>
      <c r="X669" s="23"/>
      <c r="Y669" s="23"/>
      <c r="Z669" s="1"/>
      <c r="AA669" s="1"/>
      <c r="AB669" s="1"/>
      <c r="AC669" s="1"/>
      <c r="AD669" s="23"/>
      <c r="AE669" s="1"/>
      <c r="AF669" s="23"/>
      <c r="AG669" s="23"/>
      <c r="AH669" s="1"/>
      <c r="AI669" s="23"/>
      <c r="AJ669" s="23"/>
      <c r="AK669" s="1"/>
      <c r="AL669" s="1"/>
      <c r="AM669" s="1"/>
      <c r="AN669" s="1"/>
      <c r="AO669" s="23"/>
      <c r="AP669" s="1"/>
      <c r="AQ669" s="23"/>
      <c r="AR669" s="23"/>
      <c r="AS669" s="1"/>
      <c r="AX669" s="1"/>
      <c r="AY669" s="23"/>
      <c r="AZ669" s="1"/>
      <c r="BA669" s="23"/>
      <c r="BB669" s="23"/>
      <c r="BC669" s="1"/>
    </row>
    <row r="670" spans="1:55" x14ac:dyDescent="0.25">
      <c r="A670" s="1"/>
      <c r="B670" s="1"/>
      <c r="C670" s="1"/>
      <c r="D670" s="1"/>
      <c r="E670" s="1"/>
      <c r="F670" s="1"/>
      <c r="G670" s="1"/>
      <c r="H670" s="1"/>
      <c r="I670" s="23"/>
      <c r="J670" s="1"/>
      <c r="K670" s="23"/>
      <c r="L670" s="23"/>
      <c r="M670" s="1"/>
      <c r="N670" s="23"/>
      <c r="O670" s="23"/>
      <c r="P670" s="1"/>
      <c r="Q670" s="1"/>
      <c r="R670" s="1"/>
      <c r="S670" s="23"/>
      <c r="T670" s="1"/>
      <c r="U670" s="23"/>
      <c r="V670" s="23"/>
      <c r="W670" s="1"/>
      <c r="X670" s="23"/>
      <c r="Y670" s="23"/>
      <c r="Z670" s="1"/>
      <c r="AA670" s="1"/>
      <c r="AB670" s="1"/>
      <c r="AC670" s="1"/>
      <c r="AD670" s="23"/>
      <c r="AE670" s="1"/>
      <c r="AF670" s="23"/>
      <c r="AG670" s="23"/>
      <c r="AH670" s="1"/>
      <c r="AI670" s="23"/>
      <c r="AJ670" s="23"/>
      <c r="AK670" s="1"/>
      <c r="AL670" s="1"/>
      <c r="AM670" s="1"/>
      <c r="AN670" s="1"/>
      <c r="AO670" s="23"/>
      <c r="AP670" s="1"/>
      <c r="AQ670" s="23"/>
      <c r="AR670" s="23"/>
      <c r="AS670" s="1"/>
      <c r="AX670" s="1"/>
      <c r="AY670" s="23"/>
      <c r="AZ670" s="1"/>
      <c r="BA670" s="23"/>
      <c r="BB670" s="23"/>
      <c r="BC670" s="1"/>
    </row>
    <row r="671" spans="1:55" x14ac:dyDescent="0.25">
      <c r="A671" s="1"/>
      <c r="B671" s="1"/>
      <c r="C671" s="1"/>
      <c r="D671" s="1"/>
      <c r="E671" s="1"/>
      <c r="F671" s="1"/>
      <c r="G671" s="1"/>
      <c r="H671" s="1"/>
      <c r="I671" s="23"/>
      <c r="J671" s="1"/>
      <c r="K671" s="23"/>
      <c r="L671" s="23"/>
      <c r="M671" s="1"/>
      <c r="N671" s="23"/>
      <c r="O671" s="23"/>
      <c r="P671" s="1"/>
      <c r="Q671" s="1"/>
      <c r="R671" s="1"/>
      <c r="S671" s="23"/>
      <c r="T671" s="1"/>
      <c r="U671" s="23"/>
      <c r="V671" s="23"/>
      <c r="W671" s="1"/>
      <c r="X671" s="23"/>
      <c r="Y671" s="23"/>
      <c r="Z671" s="1"/>
      <c r="AA671" s="1"/>
      <c r="AB671" s="1"/>
      <c r="AC671" s="1"/>
      <c r="AD671" s="23"/>
      <c r="AE671" s="1"/>
      <c r="AF671" s="23"/>
      <c r="AG671" s="23"/>
      <c r="AH671" s="1"/>
      <c r="AI671" s="23"/>
      <c r="AJ671" s="23"/>
      <c r="AK671" s="1"/>
      <c r="AL671" s="1"/>
      <c r="AM671" s="1"/>
      <c r="AN671" s="1"/>
      <c r="AO671" s="23"/>
      <c r="AP671" s="1"/>
      <c r="AQ671" s="23"/>
      <c r="AR671" s="23"/>
      <c r="AS671" s="1"/>
      <c r="AX671" s="1"/>
      <c r="AY671" s="23"/>
      <c r="AZ671" s="1"/>
      <c r="BA671" s="23"/>
      <c r="BB671" s="23"/>
      <c r="BC671" s="1"/>
    </row>
    <row r="672" spans="1:55" x14ac:dyDescent="0.25">
      <c r="A672" s="1"/>
      <c r="B672" s="1"/>
      <c r="C672" s="1"/>
      <c r="D672" s="1"/>
      <c r="E672" s="1"/>
      <c r="F672" s="1"/>
      <c r="G672" s="1"/>
      <c r="H672" s="1"/>
      <c r="I672" s="23"/>
      <c r="J672" s="1"/>
      <c r="K672" s="23"/>
      <c r="L672" s="23"/>
      <c r="M672" s="1"/>
      <c r="N672" s="23"/>
      <c r="O672" s="23"/>
      <c r="P672" s="1"/>
      <c r="Q672" s="1"/>
      <c r="R672" s="1"/>
      <c r="S672" s="23"/>
      <c r="T672" s="1"/>
      <c r="U672" s="23"/>
      <c r="V672" s="23"/>
      <c r="W672" s="1"/>
      <c r="X672" s="23"/>
      <c r="Y672" s="23"/>
      <c r="Z672" s="1"/>
      <c r="AA672" s="1"/>
      <c r="AB672" s="1"/>
      <c r="AC672" s="1"/>
      <c r="AD672" s="23"/>
      <c r="AE672" s="1"/>
      <c r="AF672" s="23"/>
      <c r="AG672" s="23"/>
      <c r="AH672" s="1"/>
      <c r="AI672" s="23"/>
      <c r="AJ672" s="23"/>
      <c r="AK672" s="1"/>
      <c r="AL672" s="1"/>
      <c r="AM672" s="1"/>
      <c r="AN672" s="1"/>
      <c r="AO672" s="23"/>
      <c r="AP672" s="1"/>
      <c r="AQ672" s="23"/>
      <c r="AR672" s="23"/>
      <c r="AS672" s="1"/>
      <c r="AX672" s="1"/>
      <c r="AY672" s="23"/>
      <c r="AZ672" s="1"/>
      <c r="BA672" s="23"/>
      <c r="BB672" s="23"/>
      <c r="BC672" s="1"/>
    </row>
    <row r="673" spans="1:55" x14ac:dyDescent="0.25">
      <c r="A673" s="1"/>
      <c r="B673" s="1"/>
      <c r="C673" s="1"/>
      <c r="D673" s="1"/>
      <c r="E673" s="1"/>
      <c r="F673" s="1"/>
      <c r="G673" s="1"/>
      <c r="H673" s="1"/>
      <c r="I673" s="23"/>
      <c r="J673" s="1"/>
      <c r="K673" s="23"/>
      <c r="L673" s="23"/>
      <c r="M673" s="1"/>
      <c r="N673" s="23"/>
      <c r="O673" s="23"/>
      <c r="P673" s="1"/>
      <c r="Q673" s="1"/>
      <c r="R673" s="1"/>
      <c r="S673" s="23"/>
      <c r="T673" s="1"/>
      <c r="U673" s="23"/>
      <c r="V673" s="23"/>
      <c r="W673" s="1"/>
      <c r="X673" s="23"/>
      <c r="Y673" s="23"/>
      <c r="Z673" s="1"/>
      <c r="AA673" s="1"/>
      <c r="AB673" s="1"/>
      <c r="AC673" s="1"/>
      <c r="AD673" s="23"/>
      <c r="AE673" s="1"/>
      <c r="AF673" s="23"/>
      <c r="AG673" s="23"/>
      <c r="AH673" s="1"/>
      <c r="AI673" s="23"/>
      <c r="AJ673" s="23"/>
      <c r="AK673" s="1"/>
      <c r="AL673" s="1"/>
      <c r="AM673" s="1"/>
      <c r="AN673" s="1"/>
      <c r="AO673" s="23"/>
      <c r="AP673" s="1"/>
      <c r="AQ673" s="23"/>
      <c r="AR673" s="23"/>
      <c r="AS673" s="1"/>
      <c r="AX673" s="1"/>
      <c r="AY673" s="23"/>
      <c r="AZ673" s="1"/>
      <c r="BA673" s="23"/>
      <c r="BB673" s="23"/>
      <c r="BC673" s="1"/>
    </row>
    <row r="674" spans="1:55" x14ac:dyDescent="0.25">
      <c r="A674" s="1"/>
      <c r="B674" s="1"/>
      <c r="C674" s="1"/>
      <c r="D674" s="1"/>
      <c r="E674" s="1"/>
      <c r="F674" s="1"/>
      <c r="G674" s="1"/>
      <c r="H674" s="1"/>
      <c r="I674" s="23"/>
      <c r="J674" s="1"/>
      <c r="K674" s="23"/>
      <c r="L674" s="23"/>
      <c r="M674" s="1"/>
      <c r="N674" s="23"/>
      <c r="O674" s="23"/>
      <c r="P674" s="1"/>
      <c r="Q674" s="1"/>
      <c r="R674" s="1"/>
      <c r="S674" s="23"/>
      <c r="T674" s="1"/>
      <c r="U674" s="23"/>
      <c r="V674" s="23"/>
      <c r="W674" s="1"/>
      <c r="X674" s="23"/>
      <c r="Y674" s="23"/>
      <c r="Z674" s="1"/>
      <c r="AA674" s="1"/>
      <c r="AB674" s="1"/>
      <c r="AC674" s="1"/>
      <c r="AD674" s="23"/>
      <c r="AE674" s="1"/>
      <c r="AF674" s="23"/>
      <c r="AG674" s="23"/>
      <c r="AH674" s="1"/>
      <c r="AI674" s="23"/>
      <c r="AJ674" s="23"/>
      <c r="AK674" s="1"/>
      <c r="AL674" s="1"/>
      <c r="AM674" s="1"/>
      <c r="AN674" s="1"/>
      <c r="AO674" s="23"/>
      <c r="AP674" s="1"/>
      <c r="AQ674" s="23"/>
      <c r="AR674" s="23"/>
      <c r="AS674" s="1"/>
      <c r="AX674" s="1"/>
      <c r="AY674" s="23"/>
      <c r="AZ674" s="1"/>
      <c r="BA674" s="23"/>
      <c r="BB674" s="23"/>
      <c r="BC674" s="1"/>
    </row>
    <row r="675" spans="1:55" x14ac:dyDescent="0.25">
      <c r="A675" s="1"/>
      <c r="B675" s="1"/>
      <c r="C675" s="1"/>
      <c r="D675" s="1"/>
      <c r="E675" s="1"/>
      <c r="F675" s="1"/>
      <c r="G675" s="1"/>
      <c r="H675" s="1"/>
      <c r="I675" s="23"/>
      <c r="J675" s="1"/>
      <c r="K675" s="23"/>
      <c r="L675" s="23"/>
      <c r="M675" s="1"/>
      <c r="N675" s="23"/>
      <c r="O675" s="23"/>
      <c r="P675" s="1"/>
      <c r="Q675" s="1"/>
      <c r="R675" s="1"/>
      <c r="S675" s="23"/>
      <c r="T675" s="1"/>
      <c r="U675" s="23"/>
      <c r="V675" s="23"/>
      <c r="W675" s="1"/>
      <c r="X675" s="23"/>
      <c r="Y675" s="23"/>
      <c r="Z675" s="1"/>
      <c r="AA675" s="1"/>
      <c r="AB675" s="1"/>
      <c r="AC675" s="1"/>
      <c r="AD675" s="23"/>
      <c r="AE675" s="1"/>
      <c r="AF675" s="23"/>
      <c r="AG675" s="23"/>
      <c r="AH675" s="1"/>
      <c r="AI675" s="23"/>
      <c r="AJ675" s="23"/>
      <c r="AK675" s="1"/>
      <c r="AL675" s="1"/>
      <c r="AM675" s="1"/>
      <c r="AN675" s="1"/>
      <c r="AO675" s="23"/>
      <c r="AP675" s="1"/>
      <c r="AQ675" s="23"/>
      <c r="AR675" s="23"/>
      <c r="AS675" s="1"/>
      <c r="AX675" s="1"/>
      <c r="AY675" s="23"/>
      <c r="AZ675" s="1"/>
      <c r="BA675" s="23"/>
      <c r="BB675" s="23"/>
      <c r="BC675" s="1"/>
    </row>
    <row r="676" spans="1:55" x14ac:dyDescent="0.25">
      <c r="A676" s="1"/>
      <c r="B676" s="1"/>
      <c r="C676" s="1"/>
      <c r="D676" s="1"/>
      <c r="E676" s="1"/>
      <c r="F676" s="1"/>
      <c r="G676" s="1"/>
      <c r="H676" s="1"/>
      <c r="I676" s="23"/>
      <c r="J676" s="1"/>
      <c r="K676" s="23"/>
      <c r="L676" s="23"/>
      <c r="M676" s="1"/>
      <c r="N676" s="23"/>
      <c r="O676" s="23"/>
      <c r="P676" s="1"/>
      <c r="Q676" s="1"/>
      <c r="R676" s="1"/>
      <c r="S676" s="23"/>
      <c r="T676" s="1"/>
      <c r="U676" s="23"/>
      <c r="V676" s="23"/>
      <c r="W676" s="1"/>
      <c r="X676" s="23"/>
      <c r="Y676" s="23"/>
      <c r="Z676" s="1"/>
      <c r="AA676" s="1"/>
      <c r="AB676" s="1"/>
      <c r="AC676" s="1"/>
      <c r="AD676" s="23"/>
      <c r="AE676" s="1"/>
      <c r="AF676" s="23"/>
      <c r="AG676" s="23"/>
      <c r="AH676" s="1"/>
      <c r="AI676" s="23"/>
      <c r="AJ676" s="23"/>
      <c r="AK676" s="1"/>
      <c r="AL676" s="1"/>
      <c r="AM676" s="1"/>
      <c r="AN676" s="1"/>
      <c r="AO676" s="23"/>
      <c r="AP676" s="1"/>
      <c r="AQ676" s="23"/>
      <c r="AR676" s="23"/>
      <c r="AS676" s="1"/>
      <c r="AX676" s="1"/>
      <c r="AY676" s="23"/>
      <c r="AZ676" s="1"/>
      <c r="BA676" s="23"/>
      <c r="BB676" s="23"/>
      <c r="BC676" s="1"/>
    </row>
    <row r="677" spans="1:55" x14ac:dyDescent="0.25">
      <c r="A677" s="1"/>
      <c r="B677" s="1"/>
      <c r="C677" s="1"/>
      <c r="D677" s="1"/>
      <c r="E677" s="1"/>
      <c r="F677" s="1"/>
      <c r="G677" s="1"/>
      <c r="H677" s="1"/>
      <c r="I677" s="23"/>
      <c r="J677" s="1"/>
      <c r="K677" s="23"/>
      <c r="L677" s="23"/>
      <c r="M677" s="1"/>
      <c r="N677" s="23"/>
      <c r="O677" s="23"/>
      <c r="P677" s="1"/>
      <c r="Q677" s="1"/>
      <c r="R677" s="1"/>
      <c r="S677" s="23"/>
      <c r="T677" s="1"/>
      <c r="U677" s="23"/>
      <c r="V677" s="23"/>
      <c r="W677" s="1"/>
      <c r="X677" s="23"/>
      <c r="Y677" s="23"/>
      <c r="Z677" s="1"/>
      <c r="AA677" s="1"/>
      <c r="AB677" s="1"/>
      <c r="AC677" s="1"/>
      <c r="AD677" s="23"/>
      <c r="AE677" s="1"/>
      <c r="AF677" s="23"/>
      <c r="AG677" s="23"/>
      <c r="AH677" s="1"/>
      <c r="AI677" s="23"/>
      <c r="AJ677" s="23"/>
      <c r="AK677" s="1"/>
      <c r="AL677" s="1"/>
      <c r="AM677" s="1"/>
      <c r="AN677" s="1"/>
      <c r="AO677" s="23"/>
      <c r="AP677" s="1"/>
      <c r="AQ677" s="23"/>
      <c r="AR677" s="23"/>
      <c r="AS677" s="1"/>
      <c r="AX677" s="1"/>
      <c r="AY677" s="23"/>
      <c r="AZ677" s="1"/>
      <c r="BA677" s="23"/>
      <c r="BB677" s="23"/>
      <c r="BC677" s="1"/>
    </row>
    <row r="678" spans="1:55" x14ac:dyDescent="0.25">
      <c r="A678" s="1"/>
      <c r="B678" s="1"/>
      <c r="C678" s="1"/>
      <c r="D678" s="1"/>
      <c r="E678" s="1"/>
      <c r="F678" s="1"/>
      <c r="G678" s="1"/>
      <c r="H678" s="1"/>
      <c r="I678" s="23"/>
      <c r="J678" s="1"/>
      <c r="K678" s="23"/>
      <c r="L678" s="23"/>
      <c r="M678" s="1"/>
      <c r="N678" s="23"/>
      <c r="O678" s="23"/>
      <c r="P678" s="1"/>
      <c r="Q678" s="1"/>
      <c r="R678" s="1"/>
      <c r="S678" s="23"/>
      <c r="T678" s="1"/>
      <c r="U678" s="23"/>
      <c r="V678" s="23"/>
      <c r="W678" s="1"/>
      <c r="X678" s="23"/>
      <c r="Y678" s="23"/>
      <c r="Z678" s="1"/>
      <c r="AA678" s="1"/>
      <c r="AB678" s="1"/>
      <c r="AC678" s="1"/>
      <c r="AD678" s="23"/>
      <c r="AE678" s="1"/>
      <c r="AF678" s="23"/>
      <c r="AG678" s="23"/>
      <c r="AH678" s="1"/>
      <c r="AI678" s="23"/>
      <c r="AJ678" s="23"/>
      <c r="AK678" s="1"/>
      <c r="AL678" s="1"/>
      <c r="AM678" s="1"/>
      <c r="AN678" s="1"/>
      <c r="AO678" s="23"/>
      <c r="AP678" s="1"/>
      <c r="AQ678" s="23"/>
      <c r="AR678" s="23"/>
      <c r="AS678" s="1"/>
      <c r="AX678" s="1"/>
      <c r="AY678" s="23"/>
      <c r="AZ678" s="1"/>
      <c r="BA678" s="23"/>
      <c r="BB678" s="23"/>
      <c r="BC678" s="1"/>
    </row>
    <row r="679" spans="1:55" x14ac:dyDescent="0.25">
      <c r="A679" s="1"/>
      <c r="B679" s="1"/>
      <c r="C679" s="1"/>
      <c r="D679" s="1"/>
      <c r="E679" s="1"/>
      <c r="F679" s="1"/>
      <c r="G679" s="1"/>
      <c r="H679" s="1"/>
      <c r="I679" s="23"/>
      <c r="J679" s="1"/>
      <c r="K679" s="23"/>
      <c r="L679" s="23"/>
      <c r="M679" s="1"/>
      <c r="N679" s="23"/>
      <c r="O679" s="23"/>
      <c r="P679" s="1"/>
      <c r="Q679" s="1"/>
      <c r="R679" s="1"/>
      <c r="S679" s="23"/>
      <c r="T679" s="1"/>
      <c r="U679" s="23"/>
      <c r="V679" s="23"/>
      <c r="W679" s="1"/>
      <c r="X679" s="23"/>
      <c r="Y679" s="23"/>
      <c r="Z679" s="1"/>
      <c r="AA679" s="1"/>
      <c r="AB679" s="1"/>
      <c r="AC679" s="1"/>
      <c r="AD679" s="23"/>
      <c r="AE679" s="1"/>
      <c r="AF679" s="23"/>
      <c r="AG679" s="23"/>
      <c r="AH679" s="1"/>
      <c r="AI679" s="23"/>
      <c r="AJ679" s="23"/>
      <c r="AK679" s="1"/>
      <c r="AL679" s="1"/>
      <c r="AM679" s="1"/>
      <c r="AN679" s="1"/>
      <c r="AO679" s="23"/>
      <c r="AP679" s="1"/>
      <c r="AQ679" s="23"/>
      <c r="AR679" s="23"/>
      <c r="AS679" s="1"/>
      <c r="AX679" s="1"/>
      <c r="AY679" s="23"/>
      <c r="AZ679" s="1"/>
      <c r="BA679" s="23"/>
      <c r="BB679" s="23"/>
      <c r="BC679" s="1"/>
    </row>
    <row r="680" spans="1:55" x14ac:dyDescent="0.25">
      <c r="A680" s="1"/>
      <c r="B680" s="1"/>
      <c r="C680" s="1"/>
      <c r="D680" s="1"/>
      <c r="E680" s="1"/>
      <c r="F680" s="1"/>
      <c r="G680" s="1"/>
      <c r="H680" s="1"/>
      <c r="I680" s="23"/>
      <c r="J680" s="1"/>
      <c r="K680" s="23"/>
      <c r="L680" s="23"/>
      <c r="M680" s="1"/>
      <c r="N680" s="23"/>
      <c r="O680" s="23"/>
      <c r="P680" s="1"/>
      <c r="Q680" s="1"/>
      <c r="R680" s="1"/>
      <c r="S680" s="23"/>
      <c r="T680" s="1"/>
      <c r="U680" s="23"/>
      <c r="V680" s="23"/>
      <c r="W680" s="1"/>
      <c r="X680" s="23"/>
      <c r="Y680" s="23"/>
      <c r="Z680" s="1"/>
      <c r="AA680" s="1"/>
      <c r="AB680" s="1"/>
      <c r="AC680" s="1"/>
      <c r="AD680" s="23"/>
      <c r="AE680" s="1"/>
      <c r="AF680" s="23"/>
      <c r="AG680" s="23"/>
      <c r="AH680" s="1"/>
      <c r="AI680" s="23"/>
      <c r="AJ680" s="23"/>
      <c r="AK680" s="1"/>
      <c r="AL680" s="1"/>
      <c r="AM680" s="1"/>
      <c r="AN680" s="1"/>
      <c r="AO680" s="23"/>
      <c r="AP680" s="1"/>
      <c r="AQ680" s="23"/>
      <c r="AR680" s="23"/>
      <c r="AS680" s="1"/>
      <c r="AX680" s="1"/>
      <c r="AY680" s="23"/>
      <c r="AZ680" s="1"/>
      <c r="BA680" s="23"/>
      <c r="BB680" s="23"/>
      <c r="BC680" s="1"/>
    </row>
    <row r="681" spans="1:55" x14ac:dyDescent="0.25">
      <c r="A681" s="1"/>
      <c r="B681" s="1"/>
      <c r="C681" s="1"/>
      <c r="D681" s="1"/>
      <c r="E681" s="1"/>
      <c r="F681" s="1"/>
      <c r="G681" s="1"/>
      <c r="H681" s="1"/>
      <c r="I681" s="23"/>
      <c r="J681" s="1"/>
      <c r="K681" s="23"/>
      <c r="L681" s="23"/>
      <c r="M681" s="1"/>
      <c r="N681" s="23"/>
      <c r="O681" s="23"/>
      <c r="P681" s="1"/>
      <c r="Q681" s="1"/>
      <c r="R681" s="1"/>
      <c r="S681" s="23"/>
      <c r="T681" s="1"/>
      <c r="U681" s="23"/>
      <c r="V681" s="23"/>
      <c r="W681" s="1"/>
      <c r="X681" s="23"/>
      <c r="Y681" s="23"/>
      <c r="Z681" s="1"/>
      <c r="AA681" s="1"/>
      <c r="AB681" s="1"/>
      <c r="AC681" s="1"/>
      <c r="AD681" s="23"/>
      <c r="AE681" s="1"/>
      <c r="AF681" s="23"/>
      <c r="AG681" s="23"/>
      <c r="AH681" s="1"/>
      <c r="AI681" s="23"/>
      <c r="AJ681" s="23"/>
      <c r="AK681" s="1"/>
      <c r="AL681" s="1"/>
      <c r="AM681" s="1"/>
      <c r="AN681" s="1"/>
      <c r="AO681" s="23"/>
      <c r="AP681" s="1"/>
      <c r="AQ681" s="23"/>
      <c r="AR681" s="23"/>
      <c r="AS681" s="1"/>
      <c r="AX681" s="1"/>
      <c r="AY681" s="23"/>
      <c r="AZ681" s="1"/>
      <c r="BA681" s="23"/>
      <c r="BB681" s="23"/>
      <c r="BC681" s="1"/>
    </row>
    <row r="682" spans="1:55" x14ac:dyDescent="0.25">
      <c r="A682" s="1"/>
      <c r="B682" s="1"/>
      <c r="C682" s="1"/>
      <c r="D682" s="1"/>
      <c r="E682" s="1"/>
      <c r="F682" s="1"/>
      <c r="G682" s="1"/>
      <c r="H682" s="1"/>
      <c r="I682" s="23"/>
      <c r="J682" s="1"/>
      <c r="K682" s="23"/>
      <c r="L682" s="23"/>
      <c r="M682" s="1"/>
      <c r="N682" s="23"/>
      <c r="O682" s="23"/>
      <c r="P682" s="1"/>
      <c r="Q682" s="1"/>
      <c r="R682" s="1"/>
      <c r="S682" s="23"/>
      <c r="T682" s="1"/>
      <c r="U682" s="23"/>
      <c r="V682" s="23"/>
      <c r="W682" s="1"/>
      <c r="X682" s="23"/>
      <c r="Y682" s="23"/>
      <c r="Z682" s="1"/>
      <c r="AA682" s="1"/>
      <c r="AB682" s="1"/>
      <c r="AC682" s="1"/>
      <c r="AD682" s="23"/>
      <c r="AE682" s="1"/>
      <c r="AF682" s="23"/>
      <c r="AG682" s="23"/>
      <c r="AH682" s="1"/>
      <c r="AI682" s="23"/>
      <c r="AJ682" s="23"/>
      <c r="AK682" s="1"/>
      <c r="AL682" s="1"/>
      <c r="AM682" s="1"/>
      <c r="AN682" s="1"/>
      <c r="AO682" s="23"/>
      <c r="AP682" s="1"/>
      <c r="AQ682" s="23"/>
      <c r="AR682" s="23"/>
      <c r="AS682" s="1"/>
      <c r="AX682" s="1"/>
      <c r="AY682" s="23"/>
      <c r="AZ682" s="1"/>
      <c r="BA682" s="23"/>
      <c r="BB682" s="23"/>
      <c r="BC682" s="1"/>
    </row>
    <row r="683" spans="1:55" x14ac:dyDescent="0.25">
      <c r="A683" s="1"/>
      <c r="B683" s="1"/>
      <c r="C683" s="1"/>
      <c r="D683" s="1"/>
      <c r="E683" s="1"/>
      <c r="F683" s="1"/>
      <c r="G683" s="1"/>
      <c r="H683" s="1"/>
      <c r="I683" s="23"/>
      <c r="J683" s="1"/>
      <c r="K683" s="23"/>
      <c r="L683" s="23"/>
      <c r="M683" s="1"/>
      <c r="N683" s="23"/>
      <c r="O683" s="23"/>
      <c r="P683" s="1"/>
      <c r="Q683" s="1"/>
      <c r="R683" s="1"/>
      <c r="S683" s="23"/>
      <c r="T683" s="1"/>
      <c r="U683" s="23"/>
      <c r="V683" s="23"/>
      <c r="W683" s="1"/>
      <c r="X683" s="23"/>
      <c r="Y683" s="23"/>
      <c r="Z683" s="1"/>
      <c r="AA683" s="1"/>
      <c r="AB683" s="1"/>
      <c r="AC683" s="1"/>
      <c r="AD683" s="23"/>
      <c r="AE683" s="1"/>
      <c r="AF683" s="23"/>
      <c r="AG683" s="23"/>
      <c r="AH683" s="1"/>
      <c r="AI683" s="23"/>
      <c r="AJ683" s="23"/>
      <c r="AK683" s="1"/>
      <c r="AL683" s="1"/>
      <c r="AM683" s="1"/>
      <c r="AN683" s="1"/>
      <c r="AO683" s="23"/>
      <c r="AP683" s="1"/>
      <c r="AQ683" s="23"/>
      <c r="AR683" s="23"/>
      <c r="AS683" s="1"/>
      <c r="AX683" s="1"/>
      <c r="AY683" s="23"/>
      <c r="AZ683" s="1"/>
      <c r="BA683" s="23"/>
      <c r="BB683" s="23"/>
      <c r="BC683" s="1"/>
    </row>
    <row r="684" spans="1:55" x14ac:dyDescent="0.25">
      <c r="A684" s="1"/>
      <c r="B684" s="1"/>
      <c r="C684" s="1"/>
      <c r="D684" s="1"/>
      <c r="E684" s="1"/>
      <c r="F684" s="1"/>
      <c r="G684" s="1"/>
      <c r="H684" s="1"/>
      <c r="I684" s="23"/>
      <c r="J684" s="1"/>
      <c r="K684" s="23"/>
      <c r="L684" s="23"/>
      <c r="M684" s="1"/>
      <c r="N684" s="23"/>
      <c r="O684" s="23"/>
      <c r="P684" s="1"/>
      <c r="Q684" s="1"/>
      <c r="R684" s="1"/>
      <c r="S684" s="23"/>
      <c r="T684" s="1"/>
      <c r="U684" s="23"/>
      <c r="V684" s="23"/>
      <c r="W684" s="1"/>
      <c r="X684" s="23"/>
      <c r="Y684" s="23"/>
      <c r="Z684" s="1"/>
      <c r="AA684" s="1"/>
      <c r="AB684" s="1"/>
      <c r="AC684" s="1"/>
      <c r="AD684" s="23"/>
      <c r="AE684" s="1"/>
      <c r="AF684" s="23"/>
      <c r="AG684" s="23"/>
      <c r="AH684" s="1"/>
      <c r="AI684" s="23"/>
      <c r="AJ684" s="23"/>
      <c r="AK684" s="1"/>
      <c r="AL684" s="1"/>
      <c r="AM684" s="1"/>
      <c r="AN684" s="1"/>
      <c r="AO684" s="23"/>
      <c r="AP684" s="1"/>
      <c r="AQ684" s="23"/>
      <c r="AR684" s="23"/>
      <c r="AS684" s="1"/>
      <c r="AX684" s="1"/>
      <c r="AY684" s="23"/>
      <c r="AZ684" s="1"/>
      <c r="BA684" s="23"/>
      <c r="BB684" s="23"/>
      <c r="BC684" s="1"/>
    </row>
    <row r="685" spans="1:55" x14ac:dyDescent="0.25">
      <c r="A685" s="1"/>
      <c r="B685" s="1"/>
      <c r="C685" s="1"/>
      <c r="D685" s="1"/>
      <c r="E685" s="1"/>
      <c r="F685" s="1"/>
      <c r="G685" s="1"/>
      <c r="H685" s="1"/>
      <c r="I685" s="23"/>
      <c r="J685" s="1"/>
      <c r="K685" s="23"/>
      <c r="L685" s="23"/>
      <c r="M685" s="1"/>
      <c r="N685" s="23"/>
      <c r="O685" s="23"/>
      <c r="P685" s="1"/>
      <c r="Q685" s="1"/>
      <c r="R685" s="1"/>
      <c r="S685" s="23"/>
      <c r="T685" s="1"/>
      <c r="U685" s="23"/>
      <c r="V685" s="23"/>
      <c r="W685" s="1"/>
      <c r="X685" s="23"/>
      <c r="Y685" s="23"/>
      <c r="Z685" s="1"/>
      <c r="AA685" s="1"/>
      <c r="AB685" s="1"/>
      <c r="AC685" s="1"/>
      <c r="AD685" s="23"/>
      <c r="AE685" s="1"/>
      <c r="AF685" s="23"/>
      <c r="AG685" s="23"/>
      <c r="AH685" s="1"/>
      <c r="AI685" s="23"/>
      <c r="AJ685" s="23"/>
      <c r="AK685" s="1"/>
      <c r="AL685" s="1"/>
      <c r="AM685" s="1"/>
      <c r="AN685" s="1"/>
      <c r="AO685" s="23"/>
      <c r="AP685" s="1"/>
      <c r="AQ685" s="23"/>
      <c r="AR685" s="23"/>
      <c r="AS685" s="1"/>
      <c r="AX685" s="1"/>
      <c r="AY685" s="23"/>
      <c r="AZ685" s="1"/>
      <c r="BA685" s="23"/>
      <c r="BB685" s="23"/>
      <c r="BC685" s="1"/>
    </row>
    <row r="686" spans="1:55" x14ac:dyDescent="0.25">
      <c r="A686" s="1"/>
      <c r="B686" s="1"/>
      <c r="C686" s="1"/>
      <c r="D686" s="1"/>
      <c r="E686" s="1"/>
      <c r="F686" s="1"/>
      <c r="G686" s="1"/>
      <c r="H686" s="1"/>
      <c r="I686" s="23"/>
      <c r="J686" s="1"/>
      <c r="K686" s="23"/>
      <c r="L686" s="23"/>
      <c r="M686" s="1"/>
      <c r="N686" s="23"/>
      <c r="O686" s="23"/>
      <c r="P686" s="1"/>
      <c r="Q686" s="1"/>
      <c r="R686" s="1"/>
      <c r="S686" s="23"/>
      <c r="T686" s="1"/>
      <c r="U686" s="23"/>
      <c r="V686" s="23"/>
      <c r="W686" s="1"/>
      <c r="X686" s="23"/>
      <c r="Y686" s="23"/>
      <c r="Z686" s="1"/>
      <c r="AA686" s="1"/>
      <c r="AB686" s="1"/>
      <c r="AC686" s="1"/>
      <c r="AD686" s="23"/>
      <c r="AE686" s="1"/>
      <c r="AF686" s="23"/>
      <c r="AG686" s="23"/>
      <c r="AH686" s="1"/>
      <c r="AI686" s="23"/>
      <c r="AJ686" s="23"/>
      <c r="AK686" s="1"/>
      <c r="AL686" s="1"/>
      <c r="AM686" s="1"/>
      <c r="AN686" s="1"/>
      <c r="AO686" s="23"/>
      <c r="AP686" s="1"/>
      <c r="AQ686" s="23"/>
      <c r="AR686" s="23"/>
      <c r="AS686" s="1"/>
      <c r="AX686" s="1"/>
      <c r="AY686" s="23"/>
      <c r="AZ686" s="1"/>
      <c r="BA686" s="23"/>
      <c r="BB686" s="23"/>
      <c r="BC686" s="1"/>
    </row>
    <row r="687" spans="1:55" x14ac:dyDescent="0.25">
      <c r="A687" s="1"/>
      <c r="B687" s="1"/>
      <c r="C687" s="1"/>
      <c r="D687" s="1"/>
      <c r="E687" s="1"/>
      <c r="F687" s="1"/>
      <c r="G687" s="1"/>
      <c r="H687" s="1"/>
      <c r="I687" s="23"/>
      <c r="J687" s="1"/>
      <c r="K687" s="23"/>
      <c r="L687" s="23"/>
      <c r="M687" s="1"/>
      <c r="N687" s="23"/>
      <c r="O687" s="23"/>
      <c r="P687" s="1"/>
      <c r="Q687" s="1"/>
      <c r="R687" s="1"/>
      <c r="S687" s="23"/>
      <c r="T687" s="1"/>
      <c r="U687" s="23"/>
      <c r="V687" s="23"/>
      <c r="W687" s="1"/>
      <c r="X687" s="23"/>
      <c r="Y687" s="23"/>
      <c r="Z687" s="1"/>
      <c r="AA687" s="1"/>
      <c r="AB687" s="1"/>
      <c r="AC687" s="1"/>
      <c r="AD687" s="23"/>
      <c r="AE687" s="1"/>
      <c r="AF687" s="23"/>
      <c r="AG687" s="23"/>
      <c r="AH687" s="1"/>
      <c r="AI687" s="23"/>
      <c r="AJ687" s="23"/>
      <c r="AK687" s="1"/>
      <c r="AL687" s="1"/>
      <c r="AM687" s="1"/>
      <c r="AN687" s="1"/>
      <c r="AO687" s="23"/>
      <c r="AP687" s="1"/>
      <c r="AQ687" s="23"/>
      <c r="AR687" s="23"/>
      <c r="AS687" s="1"/>
      <c r="AX687" s="1"/>
      <c r="AY687" s="23"/>
      <c r="AZ687" s="1"/>
      <c r="BA687" s="23"/>
      <c r="BB687" s="23"/>
      <c r="BC687" s="1"/>
    </row>
    <row r="688" spans="1:55" x14ac:dyDescent="0.25">
      <c r="A688" s="1"/>
      <c r="B688" s="1"/>
      <c r="C688" s="1"/>
      <c r="D688" s="1"/>
      <c r="E688" s="1"/>
      <c r="F688" s="1"/>
      <c r="G688" s="1"/>
      <c r="H688" s="1"/>
      <c r="I688" s="23"/>
      <c r="J688" s="1"/>
      <c r="K688" s="23"/>
      <c r="L688" s="23"/>
      <c r="M688" s="1"/>
      <c r="N688" s="23"/>
      <c r="O688" s="23"/>
      <c r="P688" s="1"/>
      <c r="Q688" s="1"/>
      <c r="R688" s="1"/>
      <c r="S688" s="23"/>
      <c r="T688" s="1"/>
      <c r="U688" s="23"/>
      <c r="V688" s="23"/>
      <c r="W688" s="1"/>
      <c r="X688" s="23"/>
      <c r="Y688" s="23"/>
      <c r="Z688" s="1"/>
      <c r="AA688" s="1"/>
      <c r="AB688" s="1"/>
      <c r="AC688" s="1"/>
      <c r="AD688" s="23"/>
      <c r="AE688" s="1"/>
      <c r="AF688" s="23"/>
      <c r="AG688" s="23"/>
      <c r="AH688" s="1"/>
      <c r="AI688" s="23"/>
      <c r="AJ688" s="23"/>
      <c r="AK688" s="1"/>
      <c r="AL688" s="1"/>
      <c r="AM688" s="1"/>
      <c r="AN688" s="1"/>
      <c r="AO688" s="23"/>
      <c r="AP688" s="1"/>
      <c r="AQ688" s="23"/>
      <c r="AR688" s="23"/>
      <c r="AS688" s="1"/>
      <c r="AX688" s="1"/>
      <c r="AY688" s="23"/>
      <c r="AZ688" s="1"/>
      <c r="BA688" s="23"/>
      <c r="BB688" s="23"/>
      <c r="BC688" s="1"/>
    </row>
    <row r="689" spans="1:55" x14ac:dyDescent="0.25">
      <c r="A689" s="1"/>
      <c r="B689" s="1"/>
      <c r="C689" s="1"/>
      <c r="D689" s="1"/>
      <c r="E689" s="1"/>
      <c r="F689" s="1"/>
      <c r="G689" s="1"/>
      <c r="H689" s="1"/>
      <c r="I689" s="23"/>
      <c r="J689" s="1"/>
      <c r="K689" s="23"/>
      <c r="L689" s="23"/>
      <c r="M689" s="1"/>
      <c r="N689" s="23"/>
      <c r="O689" s="23"/>
      <c r="P689" s="1"/>
      <c r="Q689" s="1"/>
      <c r="R689" s="1"/>
      <c r="S689" s="23"/>
      <c r="T689" s="1"/>
      <c r="U689" s="23"/>
      <c r="V689" s="23"/>
      <c r="W689" s="1"/>
      <c r="X689" s="23"/>
      <c r="Y689" s="23"/>
      <c r="Z689" s="1"/>
      <c r="AA689" s="1"/>
      <c r="AB689" s="1"/>
      <c r="AC689" s="1"/>
      <c r="AD689" s="23"/>
      <c r="AE689" s="1"/>
      <c r="AF689" s="23"/>
      <c r="AG689" s="23"/>
      <c r="AH689" s="1"/>
      <c r="AI689" s="23"/>
      <c r="AJ689" s="23"/>
      <c r="AK689" s="1"/>
      <c r="AL689" s="1"/>
      <c r="AM689" s="1"/>
      <c r="AN689" s="1"/>
      <c r="AO689" s="23"/>
      <c r="AP689" s="1"/>
      <c r="AQ689" s="23"/>
      <c r="AR689" s="23"/>
      <c r="AS689" s="1"/>
      <c r="AX689" s="1"/>
      <c r="AY689" s="23"/>
      <c r="AZ689" s="1"/>
      <c r="BA689" s="23"/>
      <c r="BB689" s="23"/>
      <c r="BC689" s="1"/>
    </row>
    <row r="690" spans="1:55" x14ac:dyDescent="0.25">
      <c r="A690" s="1"/>
      <c r="B690" s="1"/>
      <c r="C690" s="1"/>
      <c r="D690" s="1"/>
      <c r="E690" s="1"/>
      <c r="F690" s="1"/>
      <c r="G690" s="1"/>
      <c r="H690" s="1"/>
      <c r="I690" s="23"/>
      <c r="J690" s="1"/>
      <c r="K690" s="23"/>
      <c r="L690" s="23"/>
      <c r="M690" s="1"/>
      <c r="N690" s="23"/>
      <c r="O690" s="23"/>
      <c r="P690" s="1"/>
      <c r="Q690" s="1"/>
      <c r="R690" s="1"/>
      <c r="S690" s="23"/>
      <c r="T690" s="1"/>
      <c r="U690" s="23"/>
      <c r="V690" s="23"/>
      <c r="W690" s="1"/>
      <c r="X690" s="23"/>
      <c r="Y690" s="23"/>
      <c r="Z690" s="1"/>
      <c r="AA690" s="1"/>
      <c r="AB690" s="1"/>
      <c r="AC690" s="1"/>
      <c r="AD690" s="23"/>
      <c r="AE690" s="1"/>
      <c r="AF690" s="23"/>
      <c r="AG690" s="23"/>
      <c r="AH690" s="1"/>
      <c r="AI690" s="23"/>
      <c r="AJ690" s="23"/>
      <c r="AK690" s="1"/>
      <c r="AL690" s="1"/>
      <c r="AM690" s="1"/>
      <c r="AN690" s="1"/>
      <c r="AO690" s="23"/>
      <c r="AP690" s="1"/>
      <c r="AQ690" s="23"/>
      <c r="AR690" s="23"/>
      <c r="AS690" s="1"/>
      <c r="AX690" s="1"/>
      <c r="AY690" s="23"/>
      <c r="AZ690" s="1"/>
      <c r="BA690" s="23"/>
      <c r="BB690" s="23"/>
      <c r="BC690" s="1"/>
    </row>
    <row r="691" spans="1:55" x14ac:dyDescent="0.25">
      <c r="A691" s="1"/>
      <c r="B691" s="1"/>
      <c r="C691" s="1"/>
      <c r="D691" s="1"/>
      <c r="E691" s="1"/>
      <c r="F691" s="1"/>
      <c r="G691" s="1"/>
      <c r="H691" s="1"/>
      <c r="I691" s="23"/>
      <c r="J691" s="1"/>
      <c r="K691" s="23"/>
      <c r="L691" s="23"/>
      <c r="M691" s="1"/>
      <c r="N691" s="23"/>
      <c r="O691" s="23"/>
      <c r="P691" s="1"/>
      <c r="Q691" s="1"/>
      <c r="R691" s="1"/>
      <c r="S691" s="23"/>
      <c r="T691" s="1"/>
      <c r="U691" s="23"/>
      <c r="V691" s="23"/>
      <c r="W691" s="1"/>
      <c r="X691" s="23"/>
      <c r="Y691" s="23"/>
      <c r="Z691" s="1"/>
      <c r="AA691" s="1"/>
      <c r="AB691" s="1"/>
      <c r="AC691" s="1"/>
      <c r="AD691" s="23"/>
      <c r="AE691" s="1"/>
      <c r="AF691" s="23"/>
      <c r="AG691" s="23"/>
      <c r="AH691" s="1"/>
      <c r="AI691" s="23"/>
      <c r="AJ691" s="23"/>
      <c r="AK691" s="1"/>
      <c r="AL691" s="1"/>
      <c r="AM691" s="1"/>
      <c r="AN691" s="1"/>
      <c r="AO691" s="23"/>
      <c r="AP691" s="1"/>
      <c r="AQ691" s="23"/>
      <c r="AR691" s="23"/>
      <c r="AS691" s="1"/>
      <c r="AX691" s="1"/>
      <c r="AY691" s="23"/>
      <c r="AZ691" s="1"/>
      <c r="BA691" s="23"/>
      <c r="BB691" s="23"/>
      <c r="BC691" s="1"/>
    </row>
    <row r="692" spans="1:55" x14ac:dyDescent="0.25">
      <c r="A692" s="1"/>
      <c r="B692" s="1"/>
      <c r="C692" s="1"/>
      <c r="D692" s="1"/>
      <c r="E692" s="1"/>
      <c r="F692" s="1"/>
      <c r="G692" s="1"/>
      <c r="H692" s="1"/>
      <c r="I692" s="23"/>
      <c r="J692" s="1"/>
      <c r="K692" s="23"/>
      <c r="L692" s="23"/>
      <c r="M692" s="1"/>
      <c r="N692" s="23"/>
      <c r="O692" s="23"/>
      <c r="P692" s="1"/>
      <c r="Q692" s="1"/>
      <c r="R692" s="1"/>
      <c r="S692" s="23"/>
      <c r="T692" s="1"/>
      <c r="U692" s="23"/>
      <c r="V692" s="23"/>
      <c r="W692" s="1"/>
      <c r="X692" s="23"/>
      <c r="Y692" s="23"/>
      <c r="Z692" s="1"/>
      <c r="AA692" s="1"/>
      <c r="AB692" s="1"/>
      <c r="AC692" s="1"/>
      <c r="AD692" s="23"/>
      <c r="AE692" s="1"/>
      <c r="AF692" s="23"/>
      <c r="AG692" s="23"/>
      <c r="AH692" s="1"/>
      <c r="AI692" s="23"/>
      <c r="AJ692" s="23"/>
      <c r="AK692" s="1"/>
      <c r="AL692" s="1"/>
      <c r="AM692" s="1"/>
      <c r="AN692" s="1"/>
      <c r="AO692" s="23"/>
      <c r="AP692" s="1"/>
      <c r="AQ692" s="23"/>
      <c r="AR692" s="23"/>
      <c r="AS692" s="1"/>
      <c r="AX692" s="1"/>
      <c r="AY692" s="23"/>
      <c r="AZ692" s="1"/>
      <c r="BA692" s="23"/>
      <c r="BB692" s="23"/>
      <c r="BC692" s="1"/>
    </row>
    <row r="693" spans="1:55" x14ac:dyDescent="0.25">
      <c r="A693" s="1"/>
      <c r="B693" s="1"/>
      <c r="C693" s="1"/>
      <c r="D693" s="1"/>
      <c r="E693" s="1"/>
      <c r="F693" s="1"/>
      <c r="G693" s="1"/>
      <c r="H693" s="1"/>
      <c r="I693" s="23"/>
      <c r="J693" s="1"/>
      <c r="K693" s="23"/>
      <c r="L693" s="23"/>
      <c r="M693" s="1"/>
      <c r="N693" s="23"/>
      <c r="O693" s="23"/>
      <c r="P693" s="1"/>
      <c r="Q693" s="1"/>
      <c r="R693" s="1"/>
      <c r="S693" s="23"/>
      <c r="T693" s="1"/>
      <c r="U693" s="23"/>
      <c r="V693" s="23"/>
      <c r="W693" s="1"/>
      <c r="X693" s="23"/>
      <c r="Y693" s="23"/>
      <c r="Z693" s="1"/>
      <c r="AA693" s="1"/>
      <c r="AB693" s="1"/>
      <c r="AC693" s="1"/>
      <c r="AD693" s="23"/>
      <c r="AE693" s="1"/>
      <c r="AF693" s="23"/>
      <c r="AG693" s="23"/>
      <c r="AH693" s="1"/>
      <c r="AI693" s="23"/>
      <c r="AJ693" s="23"/>
      <c r="AK693" s="1"/>
      <c r="AL693" s="1"/>
      <c r="AM693" s="1"/>
      <c r="AN693" s="1"/>
      <c r="AO693" s="23"/>
      <c r="AP693" s="1"/>
      <c r="AQ693" s="23"/>
      <c r="AR693" s="23"/>
      <c r="AS693" s="1"/>
      <c r="AX693" s="1"/>
      <c r="AY693" s="23"/>
      <c r="AZ693" s="1"/>
      <c r="BA693" s="23"/>
      <c r="BB693" s="23"/>
      <c r="BC693" s="1"/>
    </row>
    <row r="694" spans="1:55" x14ac:dyDescent="0.25">
      <c r="A694" s="1"/>
      <c r="B694" s="1"/>
      <c r="C694" s="1"/>
      <c r="D694" s="1"/>
      <c r="E694" s="1"/>
      <c r="F694" s="1"/>
      <c r="G694" s="1"/>
      <c r="H694" s="1"/>
      <c r="I694" s="23"/>
      <c r="J694" s="1"/>
      <c r="K694" s="23"/>
      <c r="L694" s="23"/>
      <c r="M694" s="1"/>
      <c r="N694" s="23"/>
      <c r="O694" s="23"/>
      <c r="P694" s="1"/>
      <c r="Q694" s="1"/>
      <c r="R694" s="1"/>
      <c r="S694" s="23"/>
      <c r="T694" s="1"/>
      <c r="U694" s="23"/>
      <c r="V694" s="23"/>
      <c r="W694" s="1"/>
      <c r="X694" s="23"/>
      <c r="Y694" s="23"/>
      <c r="Z694" s="1"/>
      <c r="AA694" s="1"/>
      <c r="AB694" s="1"/>
      <c r="AC694" s="1"/>
      <c r="AD694" s="23"/>
      <c r="AE694" s="1"/>
      <c r="AF694" s="23"/>
      <c r="AG694" s="23"/>
      <c r="AH694" s="1"/>
      <c r="AI694" s="23"/>
      <c r="AJ694" s="23"/>
      <c r="AK694" s="1"/>
      <c r="AL694" s="1"/>
      <c r="AM694" s="1"/>
      <c r="AN694" s="1"/>
      <c r="AO694" s="23"/>
      <c r="AP694" s="1"/>
      <c r="AQ694" s="23"/>
      <c r="AR694" s="23"/>
      <c r="AS694" s="1"/>
      <c r="AX694" s="1"/>
      <c r="AY694" s="23"/>
      <c r="AZ694" s="1"/>
      <c r="BA694" s="23"/>
      <c r="BB694" s="23"/>
      <c r="BC694" s="1"/>
    </row>
    <row r="695" spans="1:55" x14ac:dyDescent="0.25">
      <c r="A695" s="1"/>
      <c r="B695" s="1"/>
      <c r="C695" s="1"/>
      <c r="D695" s="1"/>
      <c r="E695" s="1"/>
      <c r="F695" s="1"/>
      <c r="G695" s="1"/>
      <c r="H695" s="1"/>
      <c r="I695" s="23"/>
      <c r="J695" s="1"/>
      <c r="K695" s="23"/>
      <c r="L695" s="23"/>
      <c r="M695" s="1"/>
      <c r="N695" s="23"/>
      <c r="O695" s="23"/>
      <c r="P695" s="1"/>
      <c r="Q695" s="1"/>
      <c r="R695" s="1"/>
      <c r="S695" s="23"/>
      <c r="T695" s="1"/>
      <c r="U695" s="23"/>
      <c r="V695" s="23"/>
      <c r="W695" s="1"/>
      <c r="X695" s="23"/>
      <c r="Y695" s="23"/>
      <c r="Z695" s="1"/>
      <c r="AA695" s="1"/>
      <c r="AB695" s="1"/>
      <c r="AC695" s="1"/>
      <c r="AD695" s="23"/>
      <c r="AE695" s="1"/>
      <c r="AF695" s="23"/>
      <c r="AG695" s="23"/>
      <c r="AH695" s="1"/>
      <c r="AI695" s="23"/>
      <c r="AJ695" s="23"/>
      <c r="AK695" s="1"/>
      <c r="AL695" s="1"/>
      <c r="AM695" s="1"/>
      <c r="AN695" s="1"/>
      <c r="AO695" s="23"/>
      <c r="AP695" s="1"/>
      <c r="AQ695" s="23"/>
      <c r="AR695" s="23"/>
      <c r="AS695" s="1"/>
      <c r="AX695" s="1"/>
      <c r="AY695" s="23"/>
      <c r="AZ695" s="1"/>
      <c r="BA695" s="23"/>
      <c r="BB695" s="23"/>
      <c r="BC695" s="1"/>
    </row>
    <row r="696" spans="1:55" x14ac:dyDescent="0.25">
      <c r="A696" s="1"/>
      <c r="B696" s="1"/>
      <c r="C696" s="1"/>
      <c r="D696" s="1"/>
      <c r="E696" s="1"/>
      <c r="F696" s="1"/>
      <c r="G696" s="1"/>
      <c r="H696" s="1"/>
      <c r="I696" s="23"/>
      <c r="J696" s="1"/>
      <c r="K696" s="23"/>
      <c r="L696" s="23"/>
      <c r="M696" s="1"/>
      <c r="N696" s="23"/>
      <c r="O696" s="23"/>
      <c r="P696" s="1"/>
      <c r="Q696" s="1"/>
      <c r="R696" s="1"/>
      <c r="S696" s="23"/>
      <c r="T696" s="1"/>
      <c r="U696" s="23"/>
      <c r="V696" s="23"/>
      <c r="W696" s="1"/>
      <c r="X696" s="23"/>
      <c r="Y696" s="23"/>
      <c r="Z696" s="1"/>
      <c r="AA696" s="1"/>
      <c r="AB696" s="1"/>
      <c r="AC696" s="1"/>
      <c r="AD696" s="23"/>
      <c r="AE696" s="1"/>
      <c r="AF696" s="23"/>
      <c r="AG696" s="23"/>
      <c r="AH696" s="1"/>
      <c r="AI696" s="23"/>
      <c r="AJ696" s="23"/>
      <c r="AK696" s="1"/>
      <c r="AL696" s="1"/>
      <c r="AM696" s="1"/>
      <c r="AN696" s="1"/>
      <c r="AO696" s="23"/>
      <c r="AP696" s="1"/>
      <c r="AQ696" s="23"/>
      <c r="AR696" s="23"/>
      <c r="AS696" s="1"/>
      <c r="AX696" s="1"/>
      <c r="AY696" s="23"/>
      <c r="AZ696" s="1"/>
      <c r="BA696" s="23"/>
      <c r="BB696" s="23"/>
      <c r="BC696" s="1"/>
    </row>
    <row r="697" spans="1:55" x14ac:dyDescent="0.25">
      <c r="A697" s="1"/>
      <c r="B697" s="1"/>
      <c r="C697" s="1"/>
      <c r="D697" s="1"/>
      <c r="E697" s="1"/>
      <c r="F697" s="1"/>
      <c r="G697" s="1"/>
      <c r="H697" s="1"/>
      <c r="I697" s="23"/>
      <c r="J697" s="1"/>
      <c r="K697" s="23"/>
      <c r="L697" s="23"/>
      <c r="M697" s="1"/>
      <c r="N697" s="23"/>
      <c r="O697" s="23"/>
      <c r="P697" s="1"/>
      <c r="Q697" s="1"/>
      <c r="R697" s="1"/>
      <c r="S697" s="23"/>
      <c r="T697" s="1"/>
      <c r="U697" s="23"/>
      <c r="V697" s="23"/>
      <c r="W697" s="1"/>
      <c r="X697" s="23"/>
      <c r="Y697" s="23"/>
      <c r="Z697" s="1"/>
      <c r="AA697" s="1"/>
      <c r="AB697" s="1"/>
      <c r="AC697" s="1"/>
      <c r="AD697" s="23"/>
      <c r="AE697" s="1"/>
      <c r="AF697" s="23"/>
      <c r="AG697" s="23"/>
      <c r="AH697" s="1"/>
      <c r="AI697" s="23"/>
      <c r="AJ697" s="23"/>
      <c r="AK697" s="1"/>
      <c r="AL697" s="1"/>
      <c r="AM697" s="1"/>
      <c r="AN697" s="1"/>
      <c r="AO697" s="23"/>
      <c r="AP697" s="1"/>
      <c r="AQ697" s="23"/>
      <c r="AR697" s="23"/>
      <c r="AS697" s="1"/>
      <c r="AX697" s="1"/>
      <c r="AY697" s="23"/>
      <c r="AZ697" s="1"/>
      <c r="BA697" s="23"/>
      <c r="BB697" s="23"/>
      <c r="BC697" s="1"/>
    </row>
    <row r="698" spans="1:55" x14ac:dyDescent="0.25">
      <c r="A698" s="1"/>
      <c r="B698" s="1"/>
      <c r="C698" s="1"/>
      <c r="D698" s="1"/>
      <c r="E698" s="1"/>
      <c r="F698" s="1"/>
      <c r="G698" s="1"/>
      <c r="H698" s="1"/>
      <c r="I698" s="23"/>
      <c r="J698" s="1"/>
      <c r="K698" s="23"/>
      <c r="L698" s="23"/>
      <c r="M698" s="1"/>
      <c r="N698" s="23"/>
      <c r="O698" s="23"/>
      <c r="P698" s="1"/>
      <c r="Q698" s="1"/>
      <c r="R698" s="1"/>
      <c r="S698" s="23"/>
      <c r="T698" s="1"/>
      <c r="U698" s="23"/>
      <c r="V698" s="23"/>
      <c r="W698" s="1"/>
      <c r="X698" s="23"/>
      <c r="Y698" s="23"/>
      <c r="Z698" s="1"/>
      <c r="AA698" s="1"/>
      <c r="AB698" s="1"/>
      <c r="AC698" s="1"/>
      <c r="AD698" s="23"/>
      <c r="AE698" s="1"/>
      <c r="AF698" s="23"/>
      <c r="AG698" s="23"/>
      <c r="AH698" s="1"/>
      <c r="AI698" s="23"/>
      <c r="AJ698" s="23"/>
      <c r="AK698" s="1"/>
      <c r="AL698" s="1"/>
      <c r="AM698" s="1"/>
      <c r="AN698" s="1"/>
      <c r="AO698" s="23"/>
      <c r="AP698" s="1"/>
      <c r="AQ698" s="23"/>
      <c r="AR698" s="23"/>
      <c r="AS698" s="1"/>
      <c r="AX698" s="1"/>
      <c r="AY698" s="23"/>
      <c r="AZ698" s="1"/>
      <c r="BA698" s="23"/>
      <c r="BB698" s="23"/>
      <c r="BC698" s="1"/>
    </row>
    <row r="699" spans="1:55" x14ac:dyDescent="0.25">
      <c r="A699" s="1"/>
      <c r="B699" s="1"/>
      <c r="C699" s="1"/>
      <c r="D699" s="1"/>
      <c r="E699" s="1"/>
      <c r="F699" s="1"/>
      <c r="G699" s="1"/>
      <c r="H699" s="1"/>
      <c r="I699" s="23"/>
      <c r="J699" s="1"/>
      <c r="K699" s="23"/>
      <c r="L699" s="23"/>
      <c r="M699" s="1"/>
      <c r="N699" s="23"/>
      <c r="O699" s="23"/>
      <c r="P699" s="1"/>
      <c r="Q699" s="1"/>
      <c r="R699" s="1"/>
      <c r="S699" s="23"/>
      <c r="T699" s="1"/>
      <c r="U699" s="23"/>
      <c r="V699" s="23"/>
      <c r="W699" s="1"/>
      <c r="X699" s="23"/>
      <c r="Y699" s="23"/>
      <c r="Z699" s="1"/>
      <c r="AA699" s="1"/>
      <c r="AB699" s="1"/>
      <c r="AC699" s="1"/>
      <c r="AD699" s="23"/>
      <c r="AE699" s="1"/>
      <c r="AF699" s="23"/>
      <c r="AG699" s="23"/>
      <c r="AH699" s="1"/>
      <c r="AI699" s="23"/>
      <c r="AJ699" s="23"/>
      <c r="AK699" s="1"/>
      <c r="AL699" s="1"/>
      <c r="AM699" s="1"/>
      <c r="AN699" s="1"/>
      <c r="AO699" s="23"/>
      <c r="AP699" s="1"/>
      <c r="AQ699" s="23"/>
      <c r="AR699" s="23"/>
      <c r="AS699" s="1"/>
      <c r="AX699" s="1"/>
      <c r="AY699" s="23"/>
      <c r="AZ699" s="1"/>
      <c r="BA699" s="23"/>
      <c r="BB699" s="23"/>
      <c r="BC699" s="1"/>
    </row>
    <row r="700" spans="1:55" x14ac:dyDescent="0.25">
      <c r="A700" s="1"/>
      <c r="B700" s="1"/>
      <c r="C700" s="1"/>
      <c r="D700" s="1"/>
      <c r="E700" s="1"/>
      <c r="F700" s="1"/>
      <c r="G700" s="1"/>
      <c r="H700" s="1"/>
      <c r="I700" s="23"/>
      <c r="J700" s="1"/>
      <c r="K700" s="23"/>
      <c r="L700" s="23"/>
      <c r="M700" s="1"/>
      <c r="N700" s="23"/>
      <c r="O700" s="23"/>
      <c r="P700" s="1"/>
      <c r="Q700" s="1"/>
      <c r="R700" s="1"/>
      <c r="S700" s="23"/>
      <c r="T700" s="1"/>
      <c r="U700" s="23"/>
      <c r="V700" s="23"/>
      <c r="W700" s="1"/>
      <c r="X700" s="23"/>
      <c r="Y700" s="23"/>
      <c r="Z700" s="1"/>
      <c r="AA700" s="1"/>
      <c r="AB700" s="1"/>
      <c r="AC700" s="1"/>
      <c r="AD700" s="23"/>
      <c r="AE700" s="1"/>
      <c r="AF700" s="23"/>
      <c r="AG700" s="23"/>
      <c r="AH700" s="1"/>
      <c r="AI700" s="23"/>
      <c r="AJ700" s="23"/>
      <c r="AK700" s="1"/>
      <c r="AL700" s="1"/>
      <c r="AM700" s="1"/>
      <c r="AN700" s="1"/>
      <c r="AO700" s="23"/>
      <c r="AP700" s="1"/>
      <c r="AQ700" s="23"/>
      <c r="AR700" s="23"/>
      <c r="AS700" s="1"/>
      <c r="AX700" s="1"/>
      <c r="AY700" s="23"/>
      <c r="AZ700" s="1"/>
      <c r="BA700" s="23"/>
      <c r="BB700" s="23"/>
      <c r="BC700" s="1"/>
    </row>
    <row r="701" spans="1:55" x14ac:dyDescent="0.25">
      <c r="A701" s="1"/>
      <c r="B701" s="1"/>
      <c r="C701" s="1"/>
      <c r="D701" s="1"/>
      <c r="E701" s="1"/>
      <c r="F701" s="1"/>
      <c r="G701" s="1"/>
      <c r="H701" s="1"/>
      <c r="I701" s="23"/>
      <c r="J701" s="1"/>
      <c r="K701" s="23"/>
      <c r="L701" s="23"/>
      <c r="M701" s="1"/>
      <c r="N701" s="23"/>
      <c r="O701" s="23"/>
      <c r="P701" s="1"/>
      <c r="Q701" s="1"/>
      <c r="R701" s="1"/>
      <c r="S701" s="23"/>
      <c r="T701" s="1"/>
      <c r="U701" s="23"/>
      <c r="V701" s="23"/>
      <c r="W701" s="1"/>
      <c r="X701" s="23"/>
      <c r="Y701" s="23"/>
      <c r="Z701" s="1"/>
      <c r="AA701" s="1"/>
      <c r="AB701" s="1"/>
      <c r="AC701" s="1"/>
      <c r="AD701" s="23"/>
      <c r="AE701" s="1"/>
      <c r="AF701" s="23"/>
      <c r="AG701" s="23"/>
      <c r="AH701" s="1"/>
      <c r="AI701" s="23"/>
      <c r="AJ701" s="23"/>
      <c r="AK701" s="1"/>
      <c r="AL701" s="1"/>
      <c r="AM701" s="1"/>
      <c r="AN701" s="1"/>
      <c r="AO701" s="23"/>
      <c r="AP701" s="1"/>
      <c r="AQ701" s="23"/>
      <c r="AR701" s="23"/>
      <c r="AS701" s="1"/>
      <c r="AX701" s="1"/>
      <c r="AY701" s="23"/>
      <c r="AZ701" s="1"/>
      <c r="BA701" s="23"/>
      <c r="BB701" s="23"/>
      <c r="BC701" s="1"/>
    </row>
    <row r="702" spans="1:55" x14ac:dyDescent="0.25">
      <c r="A702" s="1"/>
      <c r="B702" s="1"/>
      <c r="C702" s="1"/>
      <c r="D702" s="1"/>
      <c r="E702" s="1"/>
      <c r="F702" s="1"/>
      <c r="G702" s="1"/>
      <c r="H702" s="1"/>
      <c r="I702" s="23"/>
      <c r="J702" s="1"/>
      <c r="K702" s="23"/>
      <c r="L702" s="23"/>
      <c r="M702" s="1"/>
      <c r="N702" s="23"/>
      <c r="O702" s="23"/>
      <c r="P702" s="1"/>
      <c r="Q702" s="1"/>
      <c r="R702" s="1"/>
      <c r="S702" s="23"/>
      <c r="T702" s="1"/>
      <c r="U702" s="23"/>
      <c r="V702" s="23"/>
      <c r="W702" s="1"/>
      <c r="X702" s="23"/>
      <c r="Y702" s="23"/>
      <c r="Z702" s="1"/>
      <c r="AA702" s="1"/>
      <c r="AB702" s="1"/>
      <c r="AC702" s="1"/>
      <c r="AD702" s="23"/>
      <c r="AE702" s="1"/>
      <c r="AF702" s="23"/>
      <c r="AG702" s="23"/>
      <c r="AH702" s="1"/>
      <c r="AI702" s="23"/>
      <c r="AJ702" s="23"/>
      <c r="AK702" s="1"/>
      <c r="AL702" s="1"/>
      <c r="AM702" s="1"/>
      <c r="AN702" s="1"/>
      <c r="AO702" s="23"/>
      <c r="AP702" s="1"/>
      <c r="AQ702" s="23"/>
      <c r="AR702" s="23"/>
      <c r="AS702" s="1"/>
      <c r="AX702" s="1"/>
      <c r="AY702" s="23"/>
      <c r="AZ702" s="1"/>
      <c r="BA702" s="23"/>
      <c r="BB702" s="23"/>
      <c r="BC702" s="1"/>
    </row>
    <row r="703" spans="1:55" x14ac:dyDescent="0.25">
      <c r="A703" s="1"/>
      <c r="B703" s="1"/>
      <c r="C703" s="1"/>
      <c r="D703" s="1"/>
      <c r="E703" s="1"/>
      <c r="F703" s="1"/>
      <c r="G703" s="1"/>
      <c r="H703" s="1"/>
      <c r="I703" s="23"/>
      <c r="J703" s="1"/>
      <c r="K703" s="23"/>
      <c r="L703" s="23"/>
      <c r="M703" s="1"/>
      <c r="N703" s="23"/>
      <c r="O703" s="23"/>
      <c r="P703" s="1"/>
      <c r="Q703" s="1"/>
      <c r="R703" s="1"/>
      <c r="S703" s="23"/>
      <c r="T703" s="1"/>
      <c r="U703" s="23"/>
      <c r="V703" s="23"/>
      <c r="W703" s="1"/>
      <c r="X703" s="23"/>
      <c r="Y703" s="23"/>
      <c r="Z703" s="1"/>
      <c r="AA703" s="1"/>
      <c r="AB703" s="1"/>
      <c r="AC703" s="1"/>
      <c r="AD703" s="23"/>
      <c r="AE703" s="1"/>
      <c r="AF703" s="23"/>
      <c r="AG703" s="23"/>
      <c r="AH703" s="1"/>
      <c r="AI703" s="23"/>
      <c r="AJ703" s="23"/>
      <c r="AK703" s="1"/>
      <c r="AL703" s="1"/>
      <c r="AM703" s="1"/>
      <c r="AN703" s="1"/>
      <c r="AO703" s="23"/>
      <c r="AP703" s="1"/>
      <c r="AQ703" s="23"/>
      <c r="AR703" s="23"/>
      <c r="AS703" s="1"/>
      <c r="AX703" s="1"/>
      <c r="AY703" s="23"/>
      <c r="AZ703" s="1"/>
      <c r="BA703" s="23"/>
      <c r="BB703" s="23"/>
      <c r="BC703" s="1"/>
    </row>
    <row r="704" spans="1:55" x14ac:dyDescent="0.25">
      <c r="A704" s="1"/>
      <c r="B704" s="1"/>
      <c r="C704" s="1"/>
      <c r="D704" s="1"/>
      <c r="E704" s="1"/>
      <c r="F704" s="1"/>
      <c r="G704" s="1"/>
      <c r="H704" s="1"/>
      <c r="I704" s="23"/>
      <c r="J704" s="1"/>
      <c r="K704" s="23"/>
      <c r="L704" s="23"/>
      <c r="M704" s="1"/>
      <c r="N704" s="23"/>
      <c r="O704" s="23"/>
      <c r="P704" s="1"/>
      <c r="Q704" s="1"/>
      <c r="R704" s="1"/>
      <c r="S704" s="23"/>
      <c r="T704" s="1"/>
      <c r="U704" s="23"/>
      <c r="V704" s="23"/>
      <c r="W704" s="1"/>
      <c r="X704" s="23"/>
      <c r="Y704" s="23"/>
      <c r="Z704" s="1"/>
      <c r="AA704" s="1"/>
      <c r="AB704" s="1"/>
      <c r="AC704" s="1"/>
      <c r="AD704" s="23"/>
      <c r="AE704" s="1"/>
      <c r="AF704" s="23"/>
      <c r="AG704" s="23"/>
      <c r="AH704" s="1"/>
      <c r="AI704" s="23"/>
      <c r="AJ704" s="23"/>
      <c r="AK704" s="1"/>
      <c r="AL704" s="1"/>
      <c r="AM704" s="1"/>
      <c r="AN704" s="1"/>
      <c r="AO704" s="23"/>
      <c r="AP704" s="1"/>
      <c r="AQ704" s="23"/>
      <c r="AR704" s="23"/>
      <c r="AS704" s="1"/>
      <c r="AX704" s="1"/>
      <c r="AY704" s="23"/>
      <c r="AZ704" s="1"/>
      <c r="BA704" s="23"/>
      <c r="BB704" s="23"/>
      <c r="BC704" s="1"/>
    </row>
    <row r="705" spans="1:55" x14ac:dyDescent="0.25">
      <c r="A705" s="1"/>
      <c r="B705" s="1"/>
      <c r="C705" s="1"/>
      <c r="D705" s="1"/>
      <c r="E705" s="1"/>
      <c r="F705" s="1"/>
      <c r="G705" s="1"/>
      <c r="H705" s="1"/>
      <c r="I705" s="23"/>
      <c r="J705" s="1"/>
      <c r="K705" s="23"/>
      <c r="L705" s="23"/>
      <c r="M705" s="1"/>
      <c r="N705" s="23"/>
      <c r="O705" s="23"/>
      <c r="P705" s="1"/>
      <c r="Q705" s="1"/>
      <c r="R705" s="1"/>
      <c r="S705" s="23"/>
      <c r="T705" s="1"/>
      <c r="U705" s="23"/>
      <c r="V705" s="23"/>
      <c r="W705" s="1"/>
      <c r="X705" s="23"/>
      <c r="Y705" s="23"/>
      <c r="Z705" s="1"/>
      <c r="AA705" s="1"/>
      <c r="AB705" s="1"/>
      <c r="AC705" s="1"/>
      <c r="AD705" s="23"/>
      <c r="AE705" s="1"/>
      <c r="AF705" s="23"/>
      <c r="AG705" s="23"/>
      <c r="AH705" s="1"/>
      <c r="AI705" s="23"/>
      <c r="AJ705" s="23"/>
      <c r="AK705" s="1"/>
      <c r="AL705" s="1"/>
      <c r="AM705" s="1"/>
      <c r="AN705" s="1"/>
      <c r="AO705" s="23"/>
      <c r="AP705" s="1"/>
      <c r="AQ705" s="23"/>
      <c r="AR705" s="23"/>
      <c r="AS705" s="1"/>
      <c r="AX705" s="1"/>
      <c r="AY705" s="23"/>
      <c r="AZ705" s="1"/>
      <c r="BA705" s="23"/>
      <c r="BB705" s="23"/>
      <c r="BC705" s="1"/>
    </row>
    <row r="706" spans="1:55" x14ac:dyDescent="0.25">
      <c r="A706" s="1"/>
      <c r="B706" s="1"/>
      <c r="C706" s="1"/>
      <c r="D706" s="1"/>
      <c r="E706" s="1"/>
      <c r="F706" s="1"/>
      <c r="G706" s="1"/>
      <c r="H706" s="1"/>
      <c r="I706" s="23"/>
      <c r="J706" s="1"/>
      <c r="K706" s="23"/>
      <c r="L706" s="23"/>
      <c r="M706" s="1"/>
      <c r="N706" s="23"/>
      <c r="O706" s="23"/>
      <c r="P706" s="1"/>
      <c r="Q706" s="1"/>
      <c r="R706" s="1"/>
      <c r="S706" s="23"/>
      <c r="T706" s="1"/>
      <c r="U706" s="23"/>
      <c r="V706" s="23"/>
      <c r="W706" s="1"/>
      <c r="X706" s="23"/>
      <c r="Y706" s="23"/>
      <c r="Z706" s="1"/>
      <c r="AA706" s="1"/>
      <c r="AB706" s="1"/>
      <c r="AC706" s="1"/>
      <c r="AD706" s="23"/>
      <c r="AE706" s="1"/>
      <c r="AF706" s="23"/>
      <c r="AG706" s="23"/>
      <c r="AH706" s="1"/>
      <c r="AI706" s="23"/>
      <c r="AJ706" s="23"/>
      <c r="AK706" s="1"/>
      <c r="AL706" s="1"/>
      <c r="AM706" s="1"/>
      <c r="AN706" s="1"/>
      <c r="AO706" s="23"/>
      <c r="AP706" s="1"/>
      <c r="AQ706" s="23"/>
      <c r="AR706" s="23"/>
      <c r="AS706" s="1"/>
      <c r="AX706" s="1"/>
      <c r="AY706" s="23"/>
      <c r="AZ706" s="1"/>
      <c r="BA706" s="23"/>
      <c r="BB706" s="23"/>
      <c r="BC706" s="1"/>
    </row>
    <row r="707" spans="1:55" x14ac:dyDescent="0.25">
      <c r="A707" s="1"/>
      <c r="B707" s="1"/>
      <c r="C707" s="1"/>
      <c r="D707" s="1"/>
      <c r="E707" s="1"/>
      <c r="F707" s="1"/>
      <c r="G707" s="1"/>
      <c r="H707" s="1"/>
      <c r="I707" s="23"/>
      <c r="J707" s="1"/>
      <c r="K707" s="23"/>
      <c r="L707" s="23"/>
      <c r="M707" s="1"/>
      <c r="N707" s="23"/>
      <c r="O707" s="23"/>
      <c r="P707" s="1"/>
      <c r="Q707" s="1"/>
      <c r="R707" s="1"/>
      <c r="S707" s="23"/>
      <c r="T707" s="1"/>
      <c r="U707" s="23"/>
      <c r="V707" s="23"/>
      <c r="W707" s="1"/>
      <c r="X707" s="23"/>
      <c r="Y707" s="23"/>
      <c r="Z707" s="1"/>
      <c r="AA707" s="1"/>
      <c r="AB707" s="1"/>
      <c r="AC707" s="1"/>
      <c r="AD707" s="23"/>
      <c r="AE707" s="1"/>
      <c r="AF707" s="23"/>
      <c r="AG707" s="23"/>
      <c r="AH707" s="1"/>
      <c r="AI707" s="23"/>
      <c r="AJ707" s="23"/>
      <c r="AK707" s="1"/>
      <c r="AL707" s="1"/>
      <c r="AM707" s="1"/>
      <c r="AN707" s="1"/>
      <c r="AO707" s="23"/>
      <c r="AP707" s="1"/>
      <c r="AQ707" s="23"/>
      <c r="AR707" s="23"/>
      <c r="AS707" s="1"/>
      <c r="AX707" s="1"/>
      <c r="AY707" s="23"/>
      <c r="AZ707" s="1"/>
      <c r="BA707" s="23"/>
      <c r="BB707" s="23"/>
      <c r="BC707" s="1"/>
    </row>
    <row r="708" spans="1:55" x14ac:dyDescent="0.25">
      <c r="A708" s="1"/>
      <c r="B708" s="1"/>
      <c r="C708" s="1"/>
      <c r="D708" s="1"/>
      <c r="E708" s="1"/>
      <c r="F708" s="1"/>
      <c r="G708" s="1"/>
      <c r="H708" s="1"/>
      <c r="I708" s="23"/>
      <c r="J708" s="1"/>
      <c r="K708" s="23"/>
      <c r="L708" s="23"/>
      <c r="M708" s="1"/>
      <c r="N708" s="23"/>
      <c r="O708" s="23"/>
      <c r="P708" s="1"/>
      <c r="Q708" s="1"/>
      <c r="R708" s="1"/>
      <c r="S708" s="23"/>
      <c r="T708" s="1"/>
      <c r="U708" s="23"/>
      <c r="V708" s="23"/>
      <c r="W708" s="1"/>
      <c r="X708" s="23"/>
      <c r="Y708" s="23"/>
      <c r="Z708" s="1"/>
      <c r="AA708" s="1"/>
      <c r="AB708" s="1"/>
      <c r="AC708" s="1"/>
      <c r="AD708" s="23"/>
      <c r="AE708" s="1"/>
      <c r="AF708" s="23"/>
      <c r="AG708" s="23"/>
      <c r="AH708" s="1"/>
      <c r="AI708" s="23"/>
      <c r="AJ708" s="23"/>
      <c r="AK708" s="1"/>
      <c r="AL708" s="1"/>
      <c r="AM708" s="1"/>
      <c r="AN708" s="1"/>
      <c r="AO708" s="23"/>
      <c r="AP708" s="1"/>
      <c r="AQ708" s="23"/>
      <c r="AR708" s="23"/>
      <c r="AS708" s="1"/>
      <c r="AX708" s="1"/>
      <c r="AY708" s="23"/>
      <c r="AZ708" s="1"/>
      <c r="BA708" s="23"/>
      <c r="BB708" s="23"/>
      <c r="BC708" s="1"/>
    </row>
    <row r="709" spans="1:55" x14ac:dyDescent="0.25">
      <c r="A709" s="1"/>
      <c r="B709" s="1"/>
      <c r="C709" s="1"/>
      <c r="D709" s="1"/>
      <c r="E709" s="1"/>
      <c r="F709" s="1"/>
      <c r="G709" s="1"/>
      <c r="H709" s="1"/>
      <c r="I709" s="23"/>
      <c r="J709" s="1"/>
      <c r="K709" s="23"/>
      <c r="L709" s="23"/>
      <c r="M709" s="1"/>
      <c r="N709" s="23"/>
      <c r="O709" s="23"/>
      <c r="P709" s="1"/>
      <c r="Q709" s="1"/>
      <c r="R709" s="1"/>
      <c r="S709" s="23"/>
      <c r="T709" s="1"/>
      <c r="U709" s="23"/>
      <c r="V709" s="23"/>
      <c r="W709" s="1"/>
      <c r="X709" s="23"/>
      <c r="Y709" s="23"/>
      <c r="Z709" s="1"/>
      <c r="AA709" s="1"/>
      <c r="AB709" s="1"/>
      <c r="AC709" s="1"/>
      <c r="AD709" s="23"/>
      <c r="AE709" s="1"/>
      <c r="AF709" s="23"/>
      <c r="AG709" s="23"/>
      <c r="AH709" s="1"/>
      <c r="AI709" s="23"/>
      <c r="AJ709" s="23"/>
      <c r="AK709" s="1"/>
      <c r="AL709" s="1"/>
      <c r="AM709" s="1"/>
      <c r="AN709" s="1"/>
      <c r="AO709" s="23"/>
      <c r="AP709" s="1"/>
      <c r="AQ709" s="23"/>
      <c r="AR709" s="23"/>
      <c r="AS709" s="1"/>
      <c r="AX709" s="1"/>
      <c r="AY709" s="23"/>
      <c r="AZ709" s="1"/>
      <c r="BA709" s="23"/>
      <c r="BB709" s="23"/>
      <c r="BC709" s="1"/>
    </row>
    <row r="710" spans="1:55" x14ac:dyDescent="0.25">
      <c r="A710" s="1"/>
      <c r="B710" s="1"/>
      <c r="C710" s="1"/>
      <c r="D710" s="1"/>
      <c r="E710" s="1"/>
      <c r="F710" s="1"/>
      <c r="G710" s="1"/>
      <c r="H710" s="1"/>
      <c r="I710" s="23"/>
      <c r="J710" s="1"/>
      <c r="K710" s="23"/>
      <c r="L710" s="23"/>
      <c r="M710" s="1"/>
      <c r="N710" s="23"/>
      <c r="O710" s="23"/>
      <c r="P710" s="1"/>
      <c r="Q710" s="1"/>
      <c r="R710" s="1"/>
      <c r="S710" s="23"/>
      <c r="T710" s="1"/>
      <c r="U710" s="23"/>
      <c r="V710" s="23"/>
      <c r="W710" s="1"/>
      <c r="X710" s="23"/>
      <c r="Y710" s="23"/>
      <c r="Z710" s="1"/>
      <c r="AA710" s="1"/>
      <c r="AB710" s="1"/>
      <c r="AC710" s="1"/>
      <c r="AD710" s="23"/>
      <c r="AE710" s="1"/>
      <c r="AF710" s="23"/>
      <c r="AG710" s="23"/>
      <c r="AH710" s="1"/>
      <c r="AI710" s="23"/>
      <c r="AJ710" s="23"/>
      <c r="AK710" s="1"/>
      <c r="AL710" s="1"/>
      <c r="AM710" s="1"/>
      <c r="AN710" s="1"/>
      <c r="AO710" s="23"/>
      <c r="AP710" s="1"/>
      <c r="AQ710" s="23"/>
      <c r="AR710" s="23"/>
      <c r="AS710" s="1"/>
      <c r="AX710" s="1"/>
      <c r="AY710" s="23"/>
      <c r="AZ710" s="1"/>
      <c r="BA710" s="23"/>
      <c r="BB710" s="23"/>
      <c r="BC710" s="1"/>
    </row>
    <row r="711" spans="1:55" x14ac:dyDescent="0.25">
      <c r="A711" s="1"/>
      <c r="B711" s="1"/>
      <c r="C711" s="1"/>
      <c r="D711" s="1"/>
      <c r="E711" s="1"/>
      <c r="F711" s="1"/>
      <c r="G711" s="1"/>
      <c r="H711" s="1"/>
      <c r="I711" s="23"/>
      <c r="J711" s="1"/>
      <c r="K711" s="23"/>
      <c r="L711" s="23"/>
      <c r="M711" s="1"/>
      <c r="N711" s="23"/>
      <c r="O711" s="23"/>
      <c r="P711" s="1"/>
      <c r="Q711" s="1"/>
      <c r="R711" s="1"/>
      <c r="S711" s="23"/>
      <c r="T711" s="1"/>
      <c r="U711" s="23"/>
      <c r="V711" s="23"/>
      <c r="W711" s="1"/>
      <c r="X711" s="23"/>
      <c r="Y711" s="23"/>
      <c r="Z711" s="1"/>
      <c r="AA711" s="1"/>
      <c r="AB711" s="1"/>
      <c r="AC711" s="1"/>
      <c r="AD711" s="23"/>
      <c r="AE711" s="1"/>
      <c r="AF711" s="23"/>
      <c r="AG711" s="23"/>
      <c r="AH711" s="1"/>
      <c r="AI711" s="23"/>
      <c r="AJ711" s="23"/>
      <c r="AK711" s="1"/>
      <c r="AL711" s="1"/>
      <c r="AM711" s="1"/>
      <c r="AN711" s="1"/>
      <c r="AO711" s="23"/>
      <c r="AP711" s="1"/>
      <c r="AQ711" s="23"/>
      <c r="AR711" s="23"/>
      <c r="AS711" s="1"/>
      <c r="AX711" s="1"/>
      <c r="AY711" s="23"/>
      <c r="AZ711" s="1"/>
      <c r="BA711" s="23"/>
      <c r="BB711" s="23"/>
      <c r="BC711" s="1"/>
    </row>
    <row r="712" spans="1:55" x14ac:dyDescent="0.25">
      <c r="A712" s="1"/>
      <c r="B712" s="1"/>
      <c r="C712" s="1"/>
      <c r="D712" s="1"/>
      <c r="E712" s="1"/>
      <c r="F712" s="1"/>
      <c r="G712" s="1"/>
      <c r="H712" s="1"/>
      <c r="I712" s="23"/>
      <c r="J712" s="1"/>
      <c r="K712" s="23"/>
      <c r="L712" s="23"/>
      <c r="M712" s="1"/>
      <c r="N712" s="23"/>
      <c r="O712" s="23"/>
      <c r="P712" s="1"/>
      <c r="Q712" s="1"/>
      <c r="R712" s="1"/>
      <c r="S712" s="23"/>
      <c r="T712" s="1"/>
      <c r="U712" s="23"/>
      <c r="V712" s="23"/>
      <c r="W712" s="1"/>
      <c r="X712" s="23"/>
      <c r="Y712" s="23"/>
      <c r="Z712" s="1"/>
      <c r="AA712" s="1"/>
      <c r="AB712" s="1"/>
      <c r="AC712" s="1"/>
      <c r="AD712" s="23"/>
      <c r="AE712" s="1"/>
      <c r="AF712" s="23"/>
      <c r="AG712" s="23"/>
      <c r="AH712" s="1"/>
      <c r="AI712" s="23"/>
      <c r="AJ712" s="23"/>
      <c r="AK712" s="1"/>
      <c r="AL712" s="1"/>
      <c r="AM712" s="1"/>
      <c r="AN712" s="1"/>
      <c r="AO712" s="23"/>
      <c r="AP712" s="1"/>
      <c r="AQ712" s="23"/>
      <c r="AR712" s="23"/>
      <c r="AS712" s="1"/>
      <c r="AX712" s="1"/>
      <c r="AY712" s="23"/>
      <c r="AZ712" s="1"/>
      <c r="BA712" s="23"/>
      <c r="BB712" s="23"/>
      <c r="BC712" s="1"/>
    </row>
    <row r="713" spans="1:55" x14ac:dyDescent="0.25">
      <c r="A713" s="1"/>
      <c r="B713" s="1"/>
      <c r="C713" s="1"/>
      <c r="D713" s="1"/>
      <c r="E713" s="1"/>
      <c r="F713" s="1"/>
      <c r="G713" s="1"/>
      <c r="H713" s="1"/>
      <c r="I713" s="23"/>
      <c r="J713" s="1"/>
      <c r="K713" s="23"/>
      <c r="L713" s="23"/>
      <c r="M713" s="1"/>
      <c r="N713" s="23"/>
      <c r="O713" s="23"/>
      <c r="P713" s="1"/>
      <c r="Q713" s="1"/>
      <c r="R713" s="1"/>
      <c r="S713" s="23"/>
      <c r="T713" s="1"/>
      <c r="U713" s="23"/>
      <c r="V713" s="23"/>
      <c r="W713" s="1"/>
      <c r="X713" s="23"/>
      <c r="Y713" s="23"/>
      <c r="Z713" s="1"/>
      <c r="AA713" s="1"/>
      <c r="AB713" s="1"/>
      <c r="AC713" s="1"/>
      <c r="AD713" s="23"/>
      <c r="AE713" s="1"/>
      <c r="AF713" s="23"/>
      <c r="AG713" s="23"/>
      <c r="AH713" s="1"/>
      <c r="AI713" s="23"/>
      <c r="AJ713" s="23"/>
      <c r="AK713" s="1"/>
      <c r="AL713" s="1"/>
      <c r="AM713" s="1"/>
      <c r="AN713" s="1"/>
      <c r="AO713" s="23"/>
      <c r="AP713" s="1"/>
      <c r="AQ713" s="23"/>
      <c r="AR713" s="23"/>
      <c r="AS713" s="1"/>
      <c r="AX713" s="1"/>
      <c r="AY713" s="23"/>
      <c r="AZ713" s="1"/>
      <c r="BA713" s="23"/>
      <c r="BB713" s="23"/>
      <c r="BC713" s="1"/>
    </row>
    <row r="714" spans="1:55" x14ac:dyDescent="0.25">
      <c r="A714" s="1"/>
      <c r="B714" s="1"/>
      <c r="C714" s="1"/>
      <c r="D714" s="1"/>
      <c r="E714" s="1"/>
      <c r="F714" s="1"/>
      <c r="G714" s="1"/>
      <c r="H714" s="1"/>
      <c r="I714" s="23"/>
      <c r="J714" s="1"/>
      <c r="K714" s="23"/>
      <c r="L714" s="23"/>
      <c r="M714" s="1"/>
      <c r="N714" s="23"/>
      <c r="O714" s="23"/>
      <c r="P714" s="1"/>
      <c r="Q714" s="1"/>
      <c r="R714" s="1"/>
      <c r="S714" s="23"/>
      <c r="T714" s="1"/>
      <c r="U714" s="23"/>
      <c r="V714" s="23"/>
      <c r="W714" s="1"/>
      <c r="X714" s="23"/>
      <c r="Y714" s="23"/>
      <c r="Z714" s="1"/>
      <c r="AA714" s="1"/>
      <c r="AB714" s="1"/>
      <c r="AC714" s="1"/>
      <c r="AD714" s="23"/>
      <c r="AE714" s="1"/>
      <c r="AF714" s="23"/>
      <c r="AG714" s="23"/>
      <c r="AH714" s="1"/>
      <c r="AI714" s="23"/>
      <c r="AJ714" s="23"/>
      <c r="AK714" s="1"/>
      <c r="AL714" s="1"/>
      <c r="AM714" s="1"/>
      <c r="AN714" s="1"/>
      <c r="AO714" s="23"/>
      <c r="AP714" s="1"/>
      <c r="AQ714" s="23"/>
      <c r="AR714" s="23"/>
      <c r="AS714" s="1"/>
      <c r="AX714" s="1"/>
      <c r="AY714" s="23"/>
      <c r="AZ714" s="1"/>
      <c r="BA714" s="23"/>
      <c r="BB714" s="23"/>
      <c r="BC714" s="1"/>
    </row>
    <row r="715" spans="1:55" x14ac:dyDescent="0.25">
      <c r="A715" s="1"/>
      <c r="B715" s="1"/>
      <c r="C715" s="1"/>
      <c r="D715" s="1"/>
      <c r="E715" s="1"/>
      <c r="F715" s="1"/>
      <c r="G715" s="1"/>
      <c r="H715" s="1"/>
      <c r="I715" s="23"/>
      <c r="J715" s="1"/>
      <c r="K715" s="23"/>
      <c r="L715" s="23"/>
      <c r="M715" s="1"/>
      <c r="N715" s="23"/>
      <c r="O715" s="23"/>
      <c r="P715" s="1"/>
      <c r="Q715" s="1"/>
      <c r="R715" s="1"/>
      <c r="S715" s="23"/>
      <c r="T715" s="1"/>
      <c r="U715" s="23"/>
      <c r="V715" s="23"/>
      <c r="W715" s="1"/>
      <c r="X715" s="23"/>
      <c r="Y715" s="23"/>
      <c r="Z715" s="1"/>
      <c r="AA715" s="1"/>
      <c r="AB715" s="1"/>
      <c r="AC715" s="1"/>
      <c r="AD715" s="23"/>
      <c r="AE715" s="1"/>
      <c r="AF715" s="23"/>
      <c r="AG715" s="23"/>
      <c r="AH715" s="1"/>
      <c r="AI715" s="23"/>
      <c r="AJ715" s="23"/>
      <c r="AK715" s="1"/>
      <c r="AL715" s="1"/>
      <c r="AM715" s="1"/>
      <c r="AN715" s="1"/>
      <c r="AO715" s="23"/>
      <c r="AP715" s="1"/>
      <c r="AQ715" s="23"/>
      <c r="AR715" s="23"/>
      <c r="AS715" s="1"/>
      <c r="AX715" s="1"/>
      <c r="AY715" s="23"/>
      <c r="AZ715" s="1"/>
      <c r="BA715" s="23"/>
      <c r="BB715" s="23"/>
      <c r="BC715" s="1"/>
    </row>
    <row r="716" spans="1:55" x14ac:dyDescent="0.25">
      <c r="A716" s="1"/>
      <c r="B716" s="1"/>
      <c r="C716" s="1"/>
      <c r="D716" s="1"/>
      <c r="E716" s="1"/>
      <c r="F716" s="1"/>
      <c r="G716" s="1"/>
      <c r="H716" s="1"/>
      <c r="I716" s="23"/>
      <c r="J716" s="1"/>
      <c r="K716" s="23"/>
      <c r="L716" s="23"/>
      <c r="M716" s="1"/>
      <c r="N716" s="23"/>
      <c r="O716" s="23"/>
      <c r="P716" s="1"/>
      <c r="Q716" s="1"/>
      <c r="R716" s="1"/>
      <c r="S716" s="23"/>
      <c r="T716" s="1"/>
      <c r="U716" s="23"/>
      <c r="V716" s="23"/>
      <c r="W716" s="1"/>
      <c r="X716" s="23"/>
      <c r="Y716" s="23"/>
      <c r="Z716" s="1"/>
      <c r="AA716" s="1"/>
      <c r="AB716" s="1"/>
      <c r="AC716" s="1"/>
      <c r="AD716" s="23"/>
      <c r="AE716" s="1"/>
      <c r="AF716" s="23"/>
      <c r="AG716" s="23"/>
      <c r="AH716" s="1"/>
      <c r="AI716" s="23"/>
      <c r="AJ716" s="23"/>
      <c r="AK716" s="1"/>
      <c r="AL716" s="1"/>
      <c r="AM716" s="1"/>
      <c r="AN716" s="1"/>
      <c r="AO716" s="23"/>
      <c r="AP716" s="1"/>
      <c r="AQ716" s="23"/>
      <c r="AR716" s="23"/>
      <c r="AS716" s="1"/>
      <c r="AX716" s="1"/>
      <c r="AY716" s="23"/>
      <c r="AZ716" s="1"/>
      <c r="BA716" s="23"/>
      <c r="BB716" s="23"/>
      <c r="BC716" s="1"/>
    </row>
    <row r="717" spans="1:55" x14ac:dyDescent="0.25">
      <c r="A717" s="1"/>
      <c r="B717" s="1"/>
      <c r="C717" s="1"/>
      <c r="D717" s="1"/>
      <c r="E717" s="1"/>
      <c r="F717" s="1"/>
      <c r="G717" s="1"/>
      <c r="H717" s="1"/>
      <c r="I717" s="23"/>
      <c r="J717" s="1"/>
      <c r="K717" s="23"/>
      <c r="L717" s="23"/>
      <c r="M717" s="1"/>
      <c r="N717" s="23"/>
      <c r="O717" s="23"/>
      <c r="P717" s="1"/>
      <c r="Q717" s="1"/>
      <c r="R717" s="1"/>
      <c r="S717" s="23"/>
      <c r="T717" s="1"/>
      <c r="U717" s="23"/>
      <c r="V717" s="23"/>
      <c r="W717" s="1"/>
      <c r="X717" s="23"/>
      <c r="Y717" s="23"/>
      <c r="Z717" s="1"/>
      <c r="AA717" s="1"/>
      <c r="AB717" s="1"/>
      <c r="AC717" s="1"/>
      <c r="AD717" s="23"/>
      <c r="AE717" s="1"/>
      <c r="AF717" s="23"/>
      <c r="AG717" s="23"/>
      <c r="AH717" s="1"/>
      <c r="AI717" s="23"/>
      <c r="AJ717" s="23"/>
      <c r="AK717" s="1"/>
      <c r="AL717" s="1"/>
      <c r="AM717" s="1"/>
      <c r="AN717" s="1"/>
      <c r="AO717" s="23"/>
      <c r="AP717" s="1"/>
      <c r="AQ717" s="23"/>
      <c r="AR717" s="23"/>
      <c r="AS717" s="1"/>
      <c r="AX717" s="1"/>
      <c r="AY717" s="23"/>
      <c r="AZ717" s="1"/>
      <c r="BA717" s="23"/>
      <c r="BB717" s="23"/>
      <c r="BC717" s="1"/>
    </row>
    <row r="718" spans="1:55" x14ac:dyDescent="0.25">
      <c r="A718" s="1"/>
      <c r="B718" s="1"/>
      <c r="C718" s="1"/>
      <c r="D718" s="1"/>
      <c r="E718" s="1"/>
      <c r="F718" s="1"/>
      <c r="G718" s="1"/>
      <c r="H718" s="1"/>
      <c r="I718" s="23"/>
      <c r="J718" s="1"/>
      <c r="K718" s="23"/>
      <c r="L718" s="23"/>
      <c r="M718" s="1"/>
      <c r="N718" s="23"/>
      <c r="O718" s="23"/>
      <c r="P718" s="1"/>
      <c r="Q718" s="1"/>
      <c r="R718" s="1"/>
      <c r="S718" s="23"/>
      <c r="T718" s="1"/>
      <c r="U718" s="23"/>
      <c r="V718" s="23"/>
      <c r="W718" s="1"/>
      <c r="X718" s="23"/>
      <c r="Y718" s="23"/>
      <c r="Z718" s="1"/>
      <c r="AA718" s="1"/>
      <c r="AB718" s="1"/>
      <c r="AC718" s="1"/>
      <c r="AD718" s="23"/>
      <c r="AE718" s="1"/>
      <c r="AF718" s="23"/>
      <c r="AG718" s="23"/>
      <c r="AH718" s="1"/>
      <c r="AI718" s="23"/>
      <c r="AJ718" s="23"/>
      <c r="AK718" s="1"/>
      <c r="AL718" s="1"/>
      <c r="AM718" s="1"/>
      <c r="AN718" s="1"/>
      <c r="AO718" s="23"/>
      <c r="AP718" s="1"/>
      <c r="AQ718" s="23"/>
      <c r="AR718" s="23"/>
      <c r="AS718" s="1"/>
      <c r="AX718" s="1"/>
      <c r="AY718" s="23"/>
      <c r="AZ718" s="1"/>
      <c r="BA718" s="23"/>
      <c r="BB718" s="23"/>
      <c r="BC718" s="1"/>
    </row>
    <row r="719" spans="1:55" x14ac:dyDescent="0.25">
      <c r="A719" s="1"/>
      <c r="B719" s="1"/>
      <c r="C719" s="1"/>
      <c r="D719" s="1"/>
      <c r="E719" s="1"/>
      <c r="F719" s="1"/>
      <c r="G719" s="1"/>
      <c r="H719" s="1"/>
      <c r="I719" s="23"/>
      <c r="J719" s="1"/>
      <c r="K719" s="23"/>
      <c r="L719" s="23"/>
      <c r="M719" s="1"/>
      <c r="N719" s="23"/>
      <c r="O719" s="23"/>
      <c r="P719" s="1"/>
      <c r="Q719" s="1"/>
      <c r="R719" s="1"/>
      <c r="S719" s="23"/>
      <c r="T719" s="1"/>
      <c r="U719" s="23"/>
      <c r="V719" s="23"/>
      <c r="W719" s="1"/>
      <c r="X719" s="23"/>
      <c r="Y719" s="23"/>
      <c r="Z719" s="1"/>
      <c r="AA719" s="1"/>
      <c r="AB719" s="1"/>
      <c r="AC719" s="1"/>
      <c r="AD719" s="23"/>
      <c r="AE719" s="1"/>
      <c r="AF719" s="23"/>
      <c r="AG719" s="23"/>
      <c r="AH719" s="1"/>
      <c r="AI719" s="23"/>
      <c r="AJ719" s="23"/>
      <c r="AK719" s="1"/>
      <c r="AL719" s="1"/>
      <c r="AM719" s="1"/>
      <c r="AN719" s="1"/>
      <c r="AO719" s="23"/>
      <c r="AP719" s="1"/>
      <c r="AQ719" s="23"/>
      <c r="AR719" s="23"/>
      <c r="AS719" s="1"/>
      <c r="AX719" s="1"/>
      <c r="AY719" s="23"/>
      <c r="AZ719" s="1"/>
      <c r="BA719" s="23"/>
      <c r="BB719" s="23"/>
      <c r="BC719" s="1"/>
    </row>
    <row r="720" spans="1:55" x14ac:dyDescent="0.25">
      <c r="A720" s="1"/>
      <c r="B720" s="1"/>
      <c r="C720" s="1"/>
      <c r="D720" s="1"/>
      <c r="E720" s="1"/>
      <c r="F720" s="1"/>
      <c r="G720" s="1"/>
      <c r="H720" s="1"/>
      <c r="I720" s="23"/>
      <c r="J720" s="1"/>
      <c r="K720" s="23"/>
      <c r="L720" s="23"/>
      <c r="M720" s="1"/>
      <c r="N720" s="23"/>
      <c r="O720" s="23"/>
      <c r="P720" s="1"/>
      <c r="Q720" s="1"/>
      <c r="R720" s="1"/>
      <c r="S720" s="23"/>
      <c r="T720" s="1"/>
      <c r="U720" s="23"/>
      <c r="V720" s="23"/>
      <c r="W720" s="1"/>
      <c r="X720" s="23"/>
      <c r="Y720" s="23"/>
      <c r="Z720" s="1"/>
      <c r="AA720" s="1"/>
      <c r="AB720" s="1"/>
      <c r="AC720" s="1"/>
      <c r="AD720" s="23"/>
      <c r="AE720" s="1"/>
      <c r="AF720" s="23"/>
      <c r="AG720" s="23"/>
      <c r="AH720" s="1"/>
      <c r="AI720" s="23"/>
      <c r="AJ720" s="23"/>
      <c r="AK720" s="1"/>
      <c r="AL720" s="1"/>
      <c r="AM720" s="1"/>
      <c r="AN720" s="1"/>
      <c r="AO720" s="23"/>
      <c r="AP720" s="1"/>
      <c r="AQ720" s="23"/>
      <c r="AR720" s="23"/>
      <c r="AS720" s="1"/>
      <c r="AX720" s="1"/>
      <c r="AY720" s="23"/>
      <c r="AZ720" s="1"/>
      <c r="BA720" s="23"/>
      <c r="BB720" s="23"/>
      <c r="BC720" s="1"/>
    </row>
    <row r="721" spans="1:55" x14ac:dyDescent="0.25">
      <c r="A721" s="1"/>
      <c r="B721" s="1"/>
      <c r="C721" s="1"/>
      <c r="D721" s="1"/>
      <c r="E721" s="1"/>
      <c r="F721" s="1"/>
      <c r="G721" s="1"/>
      <c r="H721" s="1"/>
      <c r="I721" s="23"/>
      <c r="J721" s="1"/>
      <c r="K721" s="23"/>
      <c r="L721" s="23"/>
      <c r="M721" s="1"/>
      <c r="N721" s="23"/>
      <c r="O721" s="23"/>
      <c r="P721" s="1"/>
      <c r="Q721" s="1"/>
      <c r="R721" s="1"/>
      <c r="S721" s="23"/>
      <c r="T721" s="1"/>
      <c r="U721" s="23"/>
      <c r="V721" s="23"/>
      <c r="W721" s="1"/>
      <c r="X721" s="23"/>
      <c r="Y721" s="23"/>
      <c r="Z721" s="1"/>
      <c r="AA721" s="1"/>
      <c r="AB721" s="1"/>
      <c r="AC721" s="1"/>
      <c r="AD721" s="23"/>
      <c r="AE721" s="1"/>
      <c r="AF721" s="23"/>
      <c r="AG721" s="23"/>
      <c r="AH721" s="1"/>
      <c r="AI721" s="23"/>
      <c r="AJ721" s="23"/>
      <c r="AK721" s="1"/>
      <c r="AL721" s="1"/>
      <c r="AM721" s="1"/>
      <c r="AN721" s="1"/>
      <c r="AO721" s="23"/>
      <c r="AP721" s="1"/>
      <c r="AQ721" s="23"/>
      <c r="AR721" s="23"/>
      <c r="AS721" s="1"/>
      <c r="AX721" s="1"/>
      <c r="AY721" s="23"/>
      <c r="AZ721" s="1"/>
      <c r="BA721" s="23"/>
      <c r="BB721" s="23"/>
      <c r="BC721" s="1"/>
    </row>
    <row r="722" spans="1:55" x14ac:dyDescent="0.25">
      <c r="A722" s="1"/>
      <c r="B722" s="1"/>
      <c r="C722" s="1"/>
      <c r="D722" s="1"/>
      <c r="E722" s="1"/>
      <c r="F722" s="1"/>
      <c r="G722" s="1"/>
      <c r="H722" s="1"/>
      <c r="I722" s="23"/>
      <c r="J722" s="1"/>
      <c r="K722" s="23"/>
      <c r="L722" s="23"/>
      <c r="M722" s="1"/>
      <c r="N722" s="23"/>
      <c r="O722" s="23"/>
      <c r="P722" s="1"/>
      <c r="Q722" s="1"/>
      <c r="R722" s="1"/>
      <c r="S722" s="23"/>
      <c r="T722" s="1"/>
      <c r="U722" s="23"/>
      <c r="V722" s="23"/>
      <c r="W722" s="1"/>
      <c r="X722" s="23"/>
      <c r="Y722" s="23"/>
      <c r="Z722" s="1"/>
      <c r="AA722" s="1"/>
      <c r="AB722" s="1"/>
      <c r="AC722" s="1"/>
      <c r="AD722" s="23"/>
      <c r="AE722" s="1"/>
      <c r="AF722" s="23"/>
      <c r="AG722" s="23"/>
      <c r="AH722" s="1"/>
      <c r="AI722" s="23"/>
      <c r="AJ722" s="23"/>
      <c r="AK722" s="1"/>
      <c r="AL722" s="1"/>
      <c r="AM722" s="1"/>
      <c r="AN722" s="1"/>
      <c r="AO722" s="23"/>
      <c r="AP722" s="1"/>
      <c r="AQ722" s="23"/>
      <c r="AR722" s="23"/>
      <c r="AS722" s="1"/>
      <c r="AX722" s="1"/>
      <c r="AY722" s="23"/>
      <c r="AZ722" s="1"/>
      <c r="BA722" s="23"/>
      <c r="BB722" s="23"/>
      <c r="BC722" s="1"/>
    </row>
    <row r="723" spans="1:55" x14ac:dyDescent="0.25">
      <c r="A723" s="1"/>
      <c r="B723" s="1"/>
      <c r="C723" s="1"/>
      <c r="D723" s="1"/>
      <c r="E723" s="1"/>
      <c r="F723" s="1"/>
      <c r="G723" s="1"/>
      <c r="H723" s="1"/>
      <c r="I723" s="23"/>
      <c r="J723" s="1"/>
      <c r="K723" s="23"/>
      <c r="L723" s="23"/>
      <c r="M723" s="1"/>
      <c r="N723" s="23"/>
      <c r="O723" s="23"/>
      <c r="P723" s="1"/>
      <c r="Q723" s="1"/>
      <c r="R723" s="1"/>
      <c r="S723" s="23"/>
      <c r="T723" s="1"/>
      <c r="U723" s="23"/>
      <c r="V723" s="23"/>
      <c r="W723" s="1"/>
      <c r="X723" s="23"/>
      <c r="Y723" s="23"/>
      <c r="Z723" s="1"/>
      <c r="AA723" s="1"/>
      <c r="AB723" s="1"/>
      <c r="AC723" s="1"/>
      <c r="AD723" s="23"/>
      <c r="AE723" s="1"/>
      <c r="AF723" s="23"/>
      <c r="AG723" s="23"/>
      <c r="AH723" s="1"/>
      <c r="AI723" s="23"/>
      <c r="AJ723" s="23"/>
      <c r="AK723" s="1"/>
      <c r="AL723" s="1"/>
      <c r="AM723" s="1"/>
      <c r="AN723" s="1"/>
      <c r="AO723" s="23"/>
      <c r="AP723" s="1"/>
      <c r="AQ723" s="23"/>
      <c r="AR723" s="23"/>
      <c r="AS723" s="1"/>
      <c r="AX723" s="1"/>
      <c r="AY723" s="23"/>
      <c r="AZ723" s="1"/>
      <c r="BA723" s="23"/>
      <c r="BB723" s="23"/>
      <c r="BC723" s="1"/>
    </row>
    <row r="724" spans="1:55" x14ac:dyDescent="0.25">
      <c r="A724" s="1"/>
      <c r="B724" s="1"/>
      <c r="C724" s="1"/>
      <c r="D724" s="1"/>
      <c r="E724" s="1"/>
      <c r="F724" s="1"/>
      <c r="G724" s="1"/>
      <c r="H724" s="1"/>
      <c r="I724" s="23"/>
      <c r="J724" s="1"/>
      <c r="K724" s="23"/>
      <c r="L724" s="23"/>
      <c r="M724" s="1"/>
      <c r="N724" s="23"/>
      <c r="O724" s="23"/>
      <c r="P724" s="1"/>
      <c r="Q724" s="1"/>
      <c r="R724" s="1"/>
      <c r="S724" s="23"/>
      <c r="T724" s="1"/>
      <c r="U724" s="23"/>
      <c r="V724" s="23"/>
      <c r="W724" s="1"/>
      <c r="X724" s="23"/>
      <c r="Y724" s="23"/>
      <c r="Z724" s="1"/>
      <c r="AA724" s="1"/>
      <c r="AB724" s="1"/>
      <c r="AC724" s="1"/>
      <c r="AD724" s="23"/>
      <c r="AE724" s="1"/>
      <c r="AF724" s="23"/>
      <c r="AG724" s="23"/>
      <c r="AH724" s="1"/>
      <c r="AI724" s="23"/>
      <c r="AJ724" s="23"/>
      <c r="AK724" s="1"/>
      <c r="AL724" s="1"/>
      <c r="AM724" s="1"/>
      <c r="AN724" s="1"/>
      <c r="AO724" s="23"/>
      <c r="AP724" s="1"/>
      <c r="AQ724" s="23"/>
      <c r="AR724" s="23"/>
      <c r="AS724" s="1"/>
      <c r="AX724" s="1"/>
      <c r="AY724" s="23"/>
      <c r="AZ724" s="1"/>
      <c r="BA724" s="23"/>
      <c r="BB724" s="23"/>
      <c r="BC724" s="1"/>
    </row>
    <row r="725" spans="1:55" x14ac:dyDescent="0.25">
      <c r="A725" s="1"/>
      <c r="B725" s="1"/>
      <c r="C725" s="1"/>
      <c r="D725" s="1"/>
      <c r="E725" s="1"/>
      <c r="F725" s="1"/>
      <c r="G725" s="1"/>
      <c r="H725" s="1"/>
      <c r="I725" s="23"/>
      <c r="J725" s="1"/>
      <c r="K725" s="23"/>
      <c r="L725" s="23"/>
      <c r="M725" s="1"/>
      <c r="N725" s="23"/>
      <c r="O725" s="23"/>
      <c r="P725" s="1"/>
      <c r="Q725" s="1"/>
      <c r="R725" s="1"/>
      <c r="S725" s="23"/>
      <c r="T725" s="1"/>
      <c r="U725" s="23"/>
      <c r="V725" s="23"/>
      <c r="W725" s="1"/>
      <c r="X725" s="23"/>
      <c r="Y725" s="23"/>
      <c r="Z725" s="1"/>
      <c r="AA725" s="1"/>
      <c r="AB725" s="1"/>
      <c r="AC725" s="1"/>
      <c r="AD725" s="23"/>
      <c r="AE725" s="1"/>
      <c r="AF725" s="23"/>
      <c r="AG725" s="23"/>
      <c r="AH725" s="1"/>
      <c r="AI725" s="23"/>
      <c r="AJ725" s="23"/>
      <c r="AK725" s="1"/>
      <c r="AL725" s="1"/>
      <c r="AM725" s="1"/>
      <c r="AN725" s="1"/>
      <c r="AO725" s="23"/>
      <c r="AP725" s="1"/>
      <c r="AQ725" s="23"/>
      <c r="AR725" s="23"/>
      <c r="AS725" s="1"/>
      <c r="AX725" s="1"/>
      <c r="AY725" s="23"/>
      <c r="AZ725" s="1"/>
      <c r="BA725" s="23"/>
      <c r="BB725" s="23"/>
      <c r="BC725" s="1"/>
    </row>
    <row r="726" spans="1:55" x14ac:dyDescent="0.25">
      <c r="A726" s="1"/>
      <c r="B726" s="1"/>
      <c r="C726" s="1"/>
      <c r="D726" s="1"/>
      <c r="E726" s="1"/>
      <c r="F726" s="1"/>
      <c r="G726" s="1"/>
      <c r="H726" s="1"/>
      <c r="I726" s="23"/>
      <c r="J726" s="1"/>
      <c r="K726" s="23"/>
      <c r="L726" s="23"/>
      <c r="M726" s="1"/>
      <c r="N726" s="23"/>
      <c r="O726" s="23"/>
      <c r="P726" s="1"/>
      <c r="Q726" s="1"/>
      <c r="R726" s="1"/>
      <c r="S726" s="23"/>
      <c r="T726" s="1"/>
      <c r="U726" s="23"/>
      <c r="V726" s="23"/>
      <c r="W726" s="1"/>
      <c r="X726" s="23"/>
      <c r="Y726" s="23"/>
      <c r="Z726" s="1"/>
      <c r="AA726" s="1"/>
      <c r="AB726" s="1"/>
      <c r="AC726" s="1"/>
      <c r="AD726" s="23"/>
      <c r="AE726" s="1"/>
      <c r="AF726" s="23"/>
      <c r="AG726" s="23"/>
      <c r="AH726" s="1"/>
      <c r="AI726" s="23"/>
      <c r="AJ726" s="23"/>
      <c r="AK726" s="1"/>
      <c r="AL726" s="1"/>
      <c r="AM726" s="1"/>
      <c r="AN726" s="1"/>
      <c r="AO726" s="23"/>
      <c r="AP726" s="1"/>
      <c r="AQ726" s="23"/>
      <c r="AR726" s="23"/>
      <c r="AS726" s="1"/>
      <c r="AX726" s="1"/>
      <c r="AY726" s="23"/>
      <c r="AZ726" s="1"/>
      <c r="BA726" s="23"/>
      <c r="BB726" s="23"/>
      <c r="BC726" s="1"/>
    </row>
    <row r="727" spans="1:55" x14ac:dyDescent="0.25">
      <c r="A727" s="1"/>
      <c r="B727" s="1"/>
      <c r="C727" s="1"/>
      <c r="D727" s="1"/>
      <c r="E727" s="1"/>
      <c r="F727" s="1"/>
      <c r="G727" s="1"/>
      <c r="H727" s="1"/>
      <c r="I727" s="23"/>
      <c r="J727" s="1"/>
      <c r="K727" s="23"/>
      <c r="L727" s="23"/>
      <c r="M727" s="1"/>
      <c r="N727" s="23"/>
      <c r="O727" s="23"/>
      <c r="P727" s="1"/>
      <c r="Q727" s="1"/>
      <c r="R727" s="1"/>
      <c r="S727" s="23"/>
      <c r="T727" s="1"/>
      <c r="U727" s="23"/>
      <c r="V727" s="23"/>
      <c r="W727" s="1"/>
      <c r="X727" s="23"/>
      <c r="Y727" s="23"/>
      <c r="Z727" s="1"/>
      <c r="AA727" s="1"/>
      <c r="AB727" s="1"/>
      <c r="AC727" s="1"/>
      <c r="AD727" s="23"/>
      <c r="AE727" s="1"/>
      <c r="AF727" s="23"/>
      <c r="AG727" s="23"/>
      <c r="AH727" s="1"/>
      <c r="AI727" s="23"/>
      <c r="AJ727" s="23"/>
      <c r="AK727" s="1"/>
      <c r="AL727" s="1"/>
      <c r="AM727" s="1"/>
      <c r="AN727" s="1"/>
      <c r="AO727" s="23"/>
      <c r="AP727" s="1"/>
      <c r="AQ727" s="23"/>
      <c r="AR727" s="23"/>
      <c r="AS727" s="1"/>
      <c r="AX727" s="1"/>
      <c r="AY727" s="23"/>
      <c r="AZ727" s="1"/>
      <c r="BA727" s="23"/>
      <c r="BB727" s="23"/>
      <c r="BC727" s="1"/>
    </row>
    <row r="728" spans="1:55" x14ac:dyDescent="0.25">
      <c r="A728" s="1"/>
      <c r="B728" s="1"/>
      <c r="C728" s="1"/>
      <c r="D728" s="1"/>
      <c r="E728" s="1"/>
      <c r="F728" s="1"/>
      <c r="G728" s="1"/>
      <c r="H728" s="1"/>
      <c r="I728" s="23"/>
      <c r="J728" s="1"/>
      <c r="K728" s="23"/>
      <c r="L728" s="23"/>
      <c r="M728" s="1"/>
      <c r="N728" s="23"/>
      <c r="O728" s="23"/>
      <c r="P728" s="1"/>
      <c r="Q728" s="1"/>
      <c r="R728" s="1"/>
      <c r="S728" s="23"/>
      <c r="T728" s="1"/>
      <c r="U728" s="23"/>
      <c r="V728" s="23"/>
      <c r="W728" s="1"/>
      <c r="X728" s="23"/>
      <c r="Y728" s="23"/>
      <c r="Z728" s="1"/>
      <c r="AA728" s="1"/>
      <c r="AB728" s="1"/>
      <c r="AC728" s="1"/>
      <c r="AD728" s="23"/>
      <c r="AE728" s="1"/>
      <c r="AF728" s="23"/>
      <c r="AG728" s="23"/>
      <c r="AH728" s="1"/>
      <c r="AI728" s="23"/>
      <c r="AJ728" s="23"/>
      <c r="AK728" s="1"/>
      <c r="AL728" s="1"/>
      <c r="AM728" s="1"/>
      <c r="AN728" s="1"/>
      <c r="AO728" s="23"/>
      <c r="AP728" s="1"/>
      <c r="AQ728" s="23"/>
      <c r="AR728" s="23"/>
      <c r="AS728" s="1"/>
      <c r="AX728" s="1"/>
      <c r="AY728" s="23"/>
      <c r="AZ728" s="1"/>
      <c r="BA728" s="23"/>
      <c r="BB728" s="23"/>
      <c r="BC728" s="1"/>
    </row>
    <row r="729" spans="1:55" x14ac:dyDescent="0.25">
      <c r="A729" s="1"/>
      <c r="B729" s="1"/>
      <c r="C729" s="1"/>
      <c r="D729" s="1"/>
      <c r="E729" s="1"/>
      <c r="F729" s="1"/>
      <c r="G729" s="1"/>
      <c r="H729" s="1"/>
      <c r="I729" s="23"/>
      <c r="J729" s="1"/>
      <c r="K729" s="23"/>
      <c r="L729" s="23"/>
      <c r="M729" s="1"/>
      <c r="N729" s="23"/>
      <c r="O729" s="23"/>
      <c r="P729" s="1"/>
      <c r="Q729" s="1"/>
      <c r="R729" s="1"/>
      <c r="S729" s="23"/>
      <c r="T729" s="1"/>
      <c r="U729" s="23"/>
      <c r="V729" s="23"/>
      <c r="W729" s="1"/>
      <c r="X729" s="23"/>
      <c r="Y729" s="23"/>
      <c r="Z729" s="1"/>
      <c r="AA729" s="1"/>
      <c r="AB729" s="1"/>
      <c r="AC729" s="1"/>
      <c r="AD729" s="23"/>
      <c r="AE729" s="1"/>
      <c r="AF729" s="23"/>
      <c r="AG729" s="23"/>
      <c r="AH729" s="1"/>
      <c r="AI729" s="23"/>
      <c r="AJ729" s="23"/>
      <c r="AK729" s="1"/>
      <c r="AL729" s="1"/>
      <c r="AM729" s="1"/>
      <c r="AN729" s="1"/>
      <c r="AO729" s="23"/>
      <c r="AP729" s="1"/>
      <c r="AQ729" s="23"/>
      <c r="AR729" s="23"/>
      <c r="AS729" s="1"/>
      <c r="AX729" s="1"/>
      <c r="AY729" s="23"/>
      <c r="AZ729" s="1"/>
      <c r="BA729" s="23"/>
      <c r="BB729" s="23"/>
      <c r="BC729" s="1"/>
    </row>
    <row r="730" spans="1:55" x14ac:dyDescent="0.25">
      <c r="A730" s="1"/>
      <c r="B730" s="1"/>
      <c r="C730" s="1"/>
      <c r="D730" s="1"/>
      <c r="E730" s="1"/>
      <c r="F730" s="1"/>
      <c r="G730" s="1"/>
      <c r="H730" s="1"/>
      <c r="I730" s="23"/>
      <c r="J730" s="1"/>
      <c r="K730" s="23"/>
      <c r="L730" s="23"/>
      <c r="M730" s="1"/>
      <c r="N730" s="23"/>
      <c r="O730" s="23"/>
      <c r="P730" s="1"/>
      <c r="Q730" s="1"/>
      <c r="R730" s="1"/>
      <c r="S730" s="23"/>
      <c r="T730" s="1"/>
      <c r="U730" s="23"/>
      <c r="V730" s="23"/>
      <c r="W730" s="1"/>
      <c r="X730" s="23"/>
      <c r="Y730" s="23"/>
      <c r="Z730" s="1"/>
      <c r="AA730" s="1"/>
      <c r="AB730" s="1"/>
      <c r="AC730" s="1"/>
      <c r="AD730" s="23"/>
      <c r="AE730" s="1"/>
      <c r="AF730" s="23"/>
      <c r="AG730" s="23"/>
      <c r="AH730" s="1"/>
      <c r="AI730" s="23"/>
      <c r="AJ730" s="23"/>
      <c r="AK730" s="1"/>
      <c r="AL730" s="1"/>
      <c r="AM730" s="1"/>
      <c r="AN730" s="1"/>
      <c r="AO730" s="23"/>
      <c r="AP730" s="1"/>
      <c r="AQ730" s="23"/>
      <c r="AR730" s="23"/>
      <c r="AS730" s="1"/>
      <c r="AX730" s="1"/>
      <c r="AY730" s="23"/>
      <c r="AZ730" s="1"/>
      <c r="BA730" s="23"/>
      <c r="BB730" s="23"/>
      <c r="BC730" s="1"/>
    </row>
    <row r="731" spans="1:55" x14ac:dyDescent="0.25">
      <c r="A731" s="1"/>
      <c r="B731" s="1"/>
      <c r="C731" s="1"/>
      <c r="D731" s="1"/>
      <c r="E731" s="1"/>
      <c r="F731" s="1"/>
      <c r="G731" s="1"/>
      <c r="H731" s="1"/>
      <c r="I731" s="23"/>
      <c r="J731" s="1"/>
      <c r="K731" s="23"/>
      <c r="L731" s="23"/>
      <c r="M731" s="1"/>
      <c r="N731" s="23"/>
      <c r="O731" s="23"/>
      <c r="P731" s="1"/>
      <c r="Q731" s="1"/>
      <c r="R731" s="1"/>
      <c r="S731" s="23"/>
      <c r="T731" s="1"/>
      <c r="U731" s="23"/>
      <c r="V731" s="23"/>
      <c r="W731" s="1"/>
      <c r="X731" s="23"/>
      <c r="Y731" s="23"/>
      <c r="Z731" s="1"/>
      <c r="AA731" s="1"/>
      <c r="AB731" s="1"/>
      <c r="AC731" s="1"/>
      <c r="AD731" s="23"/>
      <c r="AE731" s="1"/>
      <c r="AF731" s="23"/>
      <c r="AG731" s="23"/>
      <c r="AH731" s="1"/>
      <c r="AI731" s="23"/>
      <c r="AJ731" s="23"/>
      <c r="AK731" s="1"/>
      <c r="AL731" s="1"/>
      <c r="AM731" s="1"/>
      <c r="AN731" s="1"/>
      <c r="AO731" s="23"/>
      <c r="AP731" s="1"/>
      <c r="AQ731" s="23"/>
      <c r="AR731" s="23"/>
      <c r="AS731" s="1"/>
      <c r="AX731" s="1"/>
      <c r="AY731" s="23"/>
      <c r="AZ731" s="1"/>
      <c r="BA731" s="23"/>
      <c r="BB731" s="23"/>
      <c r="BC731" s="1"/>
    </row>
    <row r="732" spans="1:55" x14ac:dyDescent="0.25">
      <c r="A732" s="1"/>
      <c r="B732" s="1"/>
      <c r="C732" s="1"/>
      <c r="D732" s="1"/>
      <c r="E732" s="1"/>
      <c r="F732" s="1"/>
      <c r="G732" s="1"/>
      <c r="H732" s="1"/>
      <c r="I732" s="23"/>
      <c r="J732" s="1"/>
      <c r="K732" s="23"/>
      <c r="L732" s="23"/>
      <c r="M732" s="1"/>
      <c r="N732" s="23"/>
      <c r="O732" s="23"/>
      <c r="P732" s="1"/>
      <c r="Q732" s="1"/>
      <c r="R732" s="1"/>
      <c r="S732" s="23"/>
      <c r="T732" s="1"/>
      <c r="U732" s="23"/>
      <c r="V732" s="23"/>
      <c r="W732" s="1"/>
      <c r="X732" s="23"/>
      <c r="Y732" s="23"/>
      <c r="Z732" s="1"/>
      <c r="AA732" s="1"/>
      <c r="AB732" s="1"/>
      <c r="AC732" s="1"/>
      <c r="AD732" s="23"/>
      <c r="AE732" s="1"/>
      <c r="AF732" s="23"/>
      <c r="AG732" s="23"/>
      <c r="AH732" s="1"/>
      <c r="AI732" s="23"/>
      <c r="AJ732" s="23"/>
      <c r="AK732" s="1"/>
      <c r="AL732" s="1"/>
      <c r="AM732" s="1"/>
      <c r="AN732" s="1"/>
      <c r="AO732" s="23"/>
      <c r="AP732" s="1"/>
      <c r="AQ732" s="23"/>
      <c r="AR732" s="23"/>
      <c r="AS732" s="1"/>
      <c r="AX732" s="1"/>
      <c r="AY732" s="23"/>
      <c r="AZ732" s="1"/>
      <c r="BA732" s="23"/>
      <c r="BB732" s="23"/>
      <c r="BC732" s="1"/>
    </row>
    <row r="733" spans="1:55" x14ac:dyDescent="0.25">
      <c r="A733" s="1"/>
      <c r="B733" s="1"/>
      <c r="C733" s="1"/>
      <c r="D733" s="1"/>
      <c r="E733" s="1"/>
      <c r="F733" s="1"/>
      <c r="G733" s="1"/>
      <c r="H733" s="1"/>
      <c r="I733" s="23"/>
      <c r="J733" s="1"/>
      <c r="K733" s="23"/>
      <c r="L733" s="23"/>
      <c r="M733" s="1"/>
      <c r="N733" s="23"/>
      <c r="O733" s="23"/>
      <c r="P733" s="1"/>
      <c r="Q733" s="1"/>
      <c r="R733" s="1"/>
      <c r="S733" s="23"/>
      <c r="T733" s="1"/>
      <c r="U733" s="23"/>
      <c r="V733" s="23"/>
      <c r="W733" s="1"/>
      <c r="X733" s="23"/>
      <c r="Y733" s="23"/>
      <c r="Z733" s="1"/>
      <c r="AA733" s="1"/>
      <c r="AB733" s="1"/>
      <c r="AC733" s="1"/>
      <c r="AD733" s="23"/>
      <c r="AE733" s="1"/>
      <c r="AF733" s="23"/>
      <c r="AG733" s="23"/>
      <c r="AH733" s="1"/>
      <c r="AI733" s="23"/>
      <c r="AJ733" s="23"/>
      <c r="AK733" s="1"/>
      <c r="AL733" s="1"/>
      <c r="AM733" s="1"/>
      <c r="AN733" s="1"/>
      <c r="AO733" s="23"/>
      <c r="AP733" s="1"/>
      <c r="AQ733" s="23"/>
      <c r="AR733" s="23"/>
      <c r="AS733" s="1"/>
      <c r="AX733" s="1"/>
      <c r="AY733" s="23"/>
      <c r="AZ733" s="1"/>
      <c r="BA733" s="23"/>
      <c r="BB733" s="23"/>
      <c r="BC733" s="1"/>
    </row>
    <row r="734" spans="1:55" x14ac:dyDescent="0.25">
      <c r="A734" s="1"/>
      <c r="B734" s="1"/>
      <c r="C734" s="1"/>
      <c r="D734" s="1"/>
      <c r="E734" s="1"/>
      <c r="F734" s="1"/>
      <c r="G734" s="1"/>
      <c r="H734" s="1"/>
      <c r="I734" s="23"/>
      <c r="J734" s="1"/>
      <c r="K734" s="23"/>
      <c r="L734" s="23"/>
      <c r="M734" s="1"/>
      <c r="N734" s="23"/>
      <c r="O734" s="23"/>
      <c r="P734" s="1"/>
      <c r="Q734" s="1"/>
      <c r="R734" s="1"/>
      <c r="S734" s="23"/>
      <c r="T734" s="1"/>
      <c r="U734" s="23"/>
      <c r="V734" s="23"/>
      <c r="W734" s="1"/>
      <c r="X734" s="23"/>
      <c r="Y734" s="23"/>
      <c r="Z734" s="1"/>
      <c r="AA734" s="1"/>
      <c r="AB734" s="1"/>
      <c r="AC734" s="1"/>
      <c r="AD734" s="23"/>
      <c r="AE734" s="1"/>
      <c r="AF734" s="23"/>
      <c r="AG734" s="23"/>
      <c r="AH734" s="1"/>
      <c r="AI734" s="23"/>
      <c r="AJ734" s="23"/>
      <c r="AK734" s="1"/>
      <c r="AL734" s="1"/>
      <c r="AM734" s="1"/>
      <c r="AN734" s="1"/>
      <c r="AO734" s="23"/>
      <c r="AP734" s="1"/>
      <c r="AQ734" s="23"/>
      <c r="AR734" s="23"/>
      <c r="AS734" s="1"/>
      <c r="AX734" s="1"/>
      <c r="AY734" s="23"/>
      <c r="AZ734" s="1"/>
      <c r="BA734" s="23"/>
      <c r="BB734" s="23"/>
      <c r="BC734" s="1"/>
    </row>
    <row r="735" spans="1:55" x14ac:dyDescent="0.25">
      <c r="A735" s="1"/>
      <c r="B735" s="1"/>
      <c r="C735" s="1"/>
      <c r="D735" s="1"/>
      <c r="E735" s="1"/>
      <c r="F735" s="1"/>
      <c r="G735" s="1"/>
      <c r="H735" s="1"/>
      <c r="I735" s="23"/>
      <c r="J735" s="1"/>
      <c r="K735" s="23"/>
      <c r="L735" s="23"/>
      <c r="M735" s="1"/>
      <c r="N735" s="23"/>
      <c r="O735" s="23"/>
      <c r="P735" s="1"/>
      <c r="Q735" s="1"/>
      <c r="R735" s="1"/>
      <c r="S735" s="23"/>
      <c r="T735" s="1"/>
      <c r="U735" s="23"/>
      <c r="V735" s="23"/>
      <c r="W735" s="1"/>
      <c r="X735" s="23"/>
      <c r="Y735" s="23"/>
      <c r="Z735" s="1"/>
      <c r="AA735" s="1"/>
      <c r="AB735" s="1"/>
      <c r="AC735" s="1"/>
      <c r="AD735" s="23"/>
      <c r="AE735" s="1"/>
      <c r="AF735" s="23"/>
      <c r="AG735" s="23"/>
      <c r="AH735" s="1"/>
      <c r="AI735" s="23"/>
      <c r="AJ735" s="23"/>
      <c r="AK735" s="1"/>
      <c r="AL735" s="1"/>
      <c r="AM735" s="1"/>
      <c r="AN735" s="1"/>
      <c r="AO735" s="23"/>
      <c r="AP735" s="1"/>
      <c r="AQ735" s="23"/>
      <c r="AR735" s="23"/>
      <c r="AS735" s="1"/>
      <c r="AX735" s="1"/>
      <c r="AY735" s="23"/>
      <c r="AZ735" s="1"/>
      <c r="BA735" s="23"/>
      <c r="BB735" s="23"/>
      <c r="BC735" s="1"/>
    </row>
    <row r="736" spans="1:55" x14ac:dyDescent="0.25">
      <c r="A736" s="1"/>
      <c r="B736" s="1"/>
      <c r="C736" s="1"/>
      <c r="D736" s="1"/>
      <c r="E736" s="1"/>
      <c r="F736" s="1"/>
      <c r="G736" s="1"/>
      <c r="H736" s="1"/>
      <c r="I736" s="23"/>
      <c r="J736" s="1"/>
      <c r="K736" s="23"/>
      <c r="L736" s="23"/>
      <c r="M736" s="1"/>
      <c r="N736" s="23"/>
      <c r="O736" s="23"/>
      <c r="P736" s="1"/>
      <c r="Q736" s="1"/>
      <c r="R736" s="1"/>
      <c r="S736" s="23"/>
      <c r="T736" s="1"/>
      <c r="U736" s="23"/>
      <c r="V736" s="23"/>
      <c r="W736" s="1"/>
      <c r="X736" s="23"/>
      <c r="Y736" s="23"/>
      <c r="Z736" s="1"/>
      <c r="AA736" s="1"/>
      <c r="AB736" s="1"/>
      <c r="AC736" s="1"/>
      <c r="AD736" s="23"/>
      <c r="AE736" s="1"/>
      <c r="AF736" s="23"/>
      <c r="AG736" s="23"/>
      <c r="AH736" s="1"/>
      <c r="AI736" s="23"/>
      <c r="AJ736" s="23"/>
      <c r="AK736" s="1"/>
      <c r="AL736" s="1"/>
      <c r="AM736" s="1"/>
      <c r="AN736" s="1"/>
      <c r="AO736" s="23"/>
      <c r="AP736" s="1"/>
      <c r="AQ736" s="23"/>
      <c r="AR736" s="23"/>
      <c r="AS736" s="1"/>
      <c r="AX736" s="1"/>
      <c r="AY736" s="23"/>
      <c r="AZ736" s="1"/>
      <c r="BA736" s="23"/>
      <c r="BB736" s="23"/>
      <c r="BC736" s="1"/>
    </row>
    <row r="737" spans="1:55" x14ac:dyDescent="0.25">
      <c r="A737" s="1"/>
      <c r="B737" s="1"/>
      <c r="C737" s="1"/>
      <c r="D737" s="1"/>
      <c r="E737" s="1"/>
      <c r="F737" s="1"/>
      <c r="G737" s="1"/>
      <c r="H737" s="1"/>
      <c r="I737" s="23"/>
      <c r="J737" s="1"/>
      <c r="K737" s="23"/>
      <c r="L737" s="23"/>
      <c r="M737" s="1"/>
      <c r="N737" s="23"/>
      <c r="O737" s="23"/>
      <c r="P737" s="1"/>
      <c r="Q737" s="1"/>
      <c r="R737" s="1"/>
      <c r="S737" s="23"/>
      <c r="T737" s="1"/>
      <c r="U737" s="23"/>
      <c r="V737" s="23"/>
      <c r="W737" s="1"/>
      <c r="X737" s="23"/>
      <c r="Y737" s="23"/>
      <c r="Z737" s="1"/>
      <c r="AA737" s="1"/>
      <c r="AB737" s="1"/>
      <c r="AC737" s="1"/>
      <c r="AD737" s="23"/>
      <c r="AE737" s="1"/>
      <c r="AF737" s="23"/>
      <c r="AG737" s="23"/>
      <c r="AH737" s="1"/>
      <c r="AI737" s="23"/>
      <c r="AJ737" s="23"/>
      <c r="AK737" s="1"/>
      <c r="AL737" s="1"/>
      <c r="AM737" s="1"/>
      <c r="AN737" s="1"/>
      <c r="AO737" s="23"/>
      <c r="AP737" s="1"/>
      <c r="AQ737" s="23"/>
      <c r="AR737" s="23"/>
      <c r="AS737" s="1"/>
      <c r="AX737" s="1"/>
      <c r="AY737" s="23"/>
      <c r="AZ737" s="1"/>
      <c r="BA737" s="23"/>
      <c r="BB737" s="23"/>
      <c r="BC737" s="1"/>
    </row>
    <row r="738" spans="1:55" x14ac:dyDescent="0.25">
      <c r="A738" s="1"/>
      <c r="B738" s="1"/>
      <c r="C738" s="1"/>
      <c r="D738" s="1"/>
      <c r="E738" s="1"/>
      <c r="F738" s="1"/>
      <c r="G738" s="1"/>
      <c r="H738" s="1"/>
      <c r="I738" s="23"/>
      <c r="J738" s="1"/>
      <c r="K738" s="23"/>
      <c r="L738" s="23"/>
      <c r="M738" s="1"/>
      <c r="N738" s="23"/>
      <c r="O738" s="23"/>
      <c r="P738" s="1"/>
      <c r="Q738" s="1"/>
      <c r="R738" s="1"/>
      <c r="S738" s="23"/>
      <c r="T738" s="1"/>
      <c r="U738" s="23"/>
      <c r="V738" s="23"/>
      <c r="W738" s="1"/>
      <c r="X738" s="23"/>
      <c r="Y738" s="23"/>
      <c r="Z738" s="1"/>
      <c r="AA738" s="1"/>
      <c r="AB738" s="1"/>
      <c r="AC738" s="1"/>
      <c r="AD738" s="23"/>
      <c r="AE738" s="1"/>
      <c r="AF738" s="23"/>
      <c r="AG738" s="23"/>
      <c r="AH738" s="1"/>
      <c r="AI738" s="23"/>
      <c r="AJ738" s="23"/>
      <c r="AK738" s="1"/>
      <c r="AL738" s="1"/>
      <c r="AM738" s="1"/>
      <c r="AN738" s="1"/>
      <c r="AO738" s="23"/>
      <c r="AP738" s="1"/>
      <c r="AQ738" s="23"/>
      <c r="AR738" s="23"/>
      <c r="AS738" s="1"/>
      <c r="AX738" s="1"/>
      <c r="AY738" s="23"/>
      <c r="AZ738" s="1"/>
      <c r="BA738" s="23"/>
      <c r="BB738" s="23"/>
      <c r="BC738" s="1"/>
    </row>
    <row r="739" spans="1:55" x14ac:dyDescent="0.25">
      <c r="A739" s="1"/>
      <c r="B739" s="1"/>
      <c r="C739" s="1"/>
      <c r="D739" s="1"/>
      <c r="E739" s="1"/>
      <c r="F739" s="1"/>
      <c r="G739" s="1"/>
      <c r="H739" s="1"/>
      <c r="I739" s="23"/>
      <c r="J739" s="1"/>
      <c r="K739" s="23"/>
      <c r="L739" s="23"/>
      <c r="M739" s="1"/>
      <c r="N739" s="23"/>
      <c r="O739" s="23"/>
      <c r="P739" s="1"/>
      <c r="Q739" s="1"/>
      <c r="R739" s="1"/>
      <c r="S739" s="23"/>
      <c r="T739" s="1"/>
      <c r="U739" s="23"/>
      <c r="V739" s="23"/>
      <c r="W739" s="1"/>
      <c r="X739" s="23"/>
      <c r="Y739" s="23"/>
      <c r="Z739" s="1"/>
      <c r="AA739" s="1"/>
      <c r="AB739" s="1"/>
      <c r="AC739" s="1"/>
      <c r="AD739" s="23"/>
      <c r="AE739" s="1"/>
      <c r="AF739" s="23"/>
      <c r="AG739" s="23"/>
      <c r="AH739" s="1"/>
      <c r="AI739" s="23"/>
      <c r="AJ739" s="23"/>
      <c r="AK739" s="1"/>
      <c r="AL739" s="1"/>
      <c r="AM739" s="1"/>
      <c r="AN739" s="1"/>
      <c r="AO739" s="23"/>
      <c r="AP739" s="1"/>
      <c r="AQ739" s="23"/>
      <c r="AR739" s="23"/>
      <c r="AS739" s="1"/>
      <c r="AX739" s="1"/>
      <c r="AY739" s="23"/>
      <c r="AZ739" s="1"/>
      <c r="BA739" s="23"/>
      <c r="BB739" s="23"/>
      <c r="BC739" s="1"/>
    </row>
    <row r="740" spans="1:55" x14ac:dyDescent="0.25">
      <c r="A740" s="1"/>
      <c r="B740" s="1"/>
      <c r="C740" s="1"/>
      <c r="D740" s="1"/>
      <c r="E740" s="1"/>
      <c r="F740" s="1"/>
      <c r="G740" s="1"/>
      <c r="H740" s="1"/>
      <c r="I740" s="23"/>
      <c r="J740" s="1"/>
      <c r="K740" s="23"/>
      <c r="L740" s="23"/>
      <c r="M740" s="1"/>
      <c r="N740" s="23"/>
      <c r="O740" s="23"/>
      <c r="P740" s="1"/>
      <c r="Q740" s="1"/>
      <c r="R740" s="1"/>
      <c r="S740" s="23"/>
      <c r="T740" s="1"/>
      <c r="U740" s="23"/>
      <c r="V740" s="23"/>
      <c r="W740" s="1"/>
      <c r="X740" s="23"/>
      <c r="Y740" s="23"/>
      <c r="Z740" s="1"/>
      <c r="AA740" s="1"/>
      <c r="AB740" s="1"/>
      <c r="AC740" s="1"/>
      <c r="AD740" s="23"/>
      <c r="AE740" s="1"/>
      <c r="AF740" s="23"/>
      <c r="AG740" s="23"/>
      <c r="AH740" s="1"/>
      <c r="AI740" s="23"/>
      <c r="AJ740" s="23"/>
      <c r="AK740" s="1"/>
      <c r="AL740" s="1"/>
      <c r="AM740" s="1"/>
      <c r="AN740" s="1"/>
      <c r="AO740" s="23"/>
      <c r="AP740" s="1"/>
      <c r="AQ740" s="23"/>
      <c r="AR740" s="23"/>
      <c r="AS740" s="1"/>
      <c r="AX740" s="1"/>
      <c r="AY740" s="23"/>
      <c r="AZ740" s="1"/>
      <c r="BA740" s="23"/>
      <c r="BB740" s="23"/>
      <c r="BC740" s="1"/>
    </row>
    <row r="741" spans="1:55" x14ac:dyDescent="0.25">
      <c r="A741" s="1"/>
      <c r="B741" s="1"/>
      <c r="C741" s="1"/>
      <c r="D741" s="1"/>
      <c r="E741" s="1"/>
      <c r="F741" s="1"/>
      <c r="G741" s="1"/>
      <c r="H741" s="1"/>
      <c r="I741" s="23"/>
      <c r="J741" s="1"/>
      <c r="K741" s="23"/>
      <c r="L741" s="23"/>
      <c r="M741" s="1"/>
      <c r="N741" s="23"/>
      <c r="O741" s="23"/>
      <c r="P741" s="1"/>
      <c r="Q741" s="1"/>
      <c r="R741" s="1"/>
      <c r="S741" s="23"/>
      <c r="T741" s="1"/>
      <c r="U741" s="23"/>
      <c r="V741" s="23"/>
      <c r="W741" s="1"/>
      <c r="X741" s="23"/>
      <c r="Y741" s="23"/>
      <c r="Z741" s="1"/>
      <c r="AA741" s="1"/>
      <c r="AB741" s="1"/>
      <c r="AC741" s="1"/>
      <c r="AD741" s="23"/>
      <c r="AE741" s="1"/>
      <c r="AF741" s="23"/>
      <c r="AG741" s="23"/>
      <c r="AH741" s="1"/>
      <c r="AI741" s="23"/>
      <c r="AJ741" s="23"/>
      <c r="AK741" s="1"/>
      <c r="AL741" s="1"/>
      <c r="AM741" s="1"/>
      <c r="AN741" s="1"/>
      <c r="AO741" s="23"/>
      <c r="AP741" s="1"/>
      <c r="AQ741" s="23"/>
      <c r="AR741" s="23"/>
      <c r="AS741" s="1"/>
      <c r="AX741" s="1"/>
      <c r="AY741" s="23"/>
      <c r="AZ741" s="1"/>
      <c r="BA741" s="23"/>
      <c r="BB741" s="23"/>
      <c r="BC741" s="1"/>
    </row>
    <row r="742" spans="1:55" x14ac:dyDescent="0.25">
      <c r="A742" s="1"/>
      <c r="B742" s="1"/>
      <c r="C742" s="1"/>
      <c r="D742" s="1"/>
      <c r="E742" s="1"/>
      <c r="F742" s="1"/>
      <c r="G742" s="1"/>
      <c r="H742" s="1"/>
      <c r="I742" s="23"/>
      <c r="J742" s="1"/>
      <c r="K742" s="23"/>
      <c r="L742" s="23"/>
      <c r="M742" s="1"/>
      <c r="N742" s="23"/>
      <c r="O742" s="23"/>
      <c r="P742" s="1"/>
      <c r="Q742" s="1"/>
      <c r="R742" s="1"/>
      <c r="S742" s="23"/>
      <c r="T742" s="1"/>
      <c r="U742" s="23"/>
      <c r="V742" s="23"/>
      <c r="W742" s="1"/>
      <c r="X742" s="23"/>
      <c r="Y742" s="23"/>
      <c r="Z742" s="1"/>
      <c r="AA742" s="1"/>
      <c r="AB742" s="1"/>
      <c r="AC742" s="1"/>
      <c r="AD742" s="23"/>
      <c r="AE742" s="1"/>
      <c r="AF742" s="23"/>
      <c r="AG742" s="23"/>
      <c r="AH742" s="1"/>
      <c r="AI742" s="23"/>
      <c r="AJ742" s="23"/>
      <c r="AK742" s="1"/>
      <c r="AL742" s="1"/>
      <c r="AM742" s="1"/>
      <c r="AN742" s="1"/>
      <c r="AO742" s="23"/>
      <c r="AP742" s="1"/>
      <c r="AQ742" s="23"/>
      <c r="AR742" s="23"/>
      <c r="AS742" s="1"/>
      <c r="AX742" s="1"/>
      <c r="AY742" s="23"/>
      <c r="AZ742" s="1"/>
      <c r="BA742" s="23"/>
      <c r="BB742" s="23"/>
      <c r="BC742" s="1"/>
    </row>
    <row r="743" spans="1:55" x14ac:dyDescent="0.25">
      <c r="A743" s="1"/>
      <c r="B743" s="1"/>
      <c r="C743" s="1"/>
      <c r="D743" s="1"/>
      <c r="E743" s="1"/>
      <c r="F743" s="1"/>
      <c r="G743" s="1"/>
      <c r="H743" s="1"/>
      <c r="I743" s="23"/>
      <c r="J743" s="1"/>
      <c r="K743" s="23"/>
      <c r="L743" s="23"/>
      <c r="M743" s="1"/>
      <c r="N743" s="23"/>
      <c r="O743" s="23"/>
      <c r="P743" s="1"/>
      <c r="Q743" s="1"/>
      <c r="R743" s="1"/>
      <c r="S743" s="23"/>
      <c r="T743" s="1"/>
      <c r="U743" s="23"/>
      <c r="V743" s="23"/>
      <c r="W743" s="1"/>
      <c r="X743" s="23"/>
      <c r="Y743" s="23"/>
      <c r="Z743" s="1"/>
      <c r="AA743" s="1"/>
      <c r="AB743" s="1"/>
      <c r="AC743" s="1"/>
      <c r="AD743" s="23"/>
      <c r="AE743" s="1"/>
      <c r="AF743" s="23"/>
      <c r="AG743" s="23"/>
      <c r="AH743" s="1"/>
      <c r="AI743" s="23"/>
      <c r="AJ743" s="23"/>
      <c r="AK743" s="1"/>
      <c r="AL743" s="1"/>
      <c r="AM743" s="1"/>
      <c r="AN743" s="1"/>
      <c r="AO743" s="23"/>
      <c r="AP743" s="1"/>
      <c r="AQ743" s="23"/>
      <c r="AR743" s="23"/>
      <c r="AS743" s="1"/>
      <c r="AX743" s="1"/>
      <c r="AY743" s="23"/>
      <c r="AZ743" s="1"/>
      <c r="BA743" s="23"/>
      <c r="BB743" s="23"/>
      <c r="BC743" s="1"/>
    </row>
    <row r="744" spans="1:55" x14ac:dyDescent="0.25">
      <c r="A744" s="1"/>
      <c r="B744" s="1"/>
      <c r="C744" s="1"/>
      <c r="D744" s="1"/>
      <c r="E744" s="1"/>
      <c r="F744" s="1"/>
      <c r="G744" s="1"/>
      <c r="H744" s="1"/>
      <c r="I744" s="23"/>
      <c r="J744" s="1"/>
      <c r="K744" s="23"/>
      <c r="L744" s="23"/>
      <c r="M744" s="1"/>
      <c r="N744" s="23"/>
      <c r="O744" s="23"/>
      <c r="P744" s="1"/>
      <c r="Q744" s="1"/>
      <c r="R744" s="1"/>
      <c r="S744" s="23"/>
      <c r="T744" s="1"/>
      <c r="U744" s="23"/>
      <c r="V744" s="23"/>
      <c r="W744" s="1"/>
      <c r="X744" s="23"/>
      <c r="Y744" s="23"/>
      <c r="Z744" s="1"/>
      <c r="AA744" s="1"/>
      <c r="AB744" s="1"/>
      <c r="AC744" s="1"/>
      <c r="AD744" s="23"/>
      <c r="AE744" s="1"/>
      <c r="AF744" s="23"/>
      <c r="AG744" s="23"/>
      <c r="AH744" s="1"/>
      <c r="AI744" s="23"/>
      <c r="AJ744" s="23"/>
      <c r="AK744" s="1"/>
      <c r="AL744" s="1"/>
      <c r="AM744" s="1"/>
      <c r="AN744" s="1"/>
      <c r="AO744" s="23"/>
      <c r="AP744" s="1"/>
      <c r="AQ744" s="23"/>
      <c r="AR744" s="23"/>
      <c r="AS744" s="1"/>
      <c r="AX744" s="1"/>
      <c r="AY744" s="23"/>
      <c r="AZ744" s="1"/>
      <c r="BA744" s="23"/>
      <c r="BB744" s="23"/>
      <c r="BC744" s="1"/>
    </row>
    <row r="745" spans="1:55" x14ac:dyDescent="0.25">
      <c r="A745" s="1"/>
      <c r="B745" s="1"/>
      <c r="C745" s="1"/>
      <c r="D745" s="1"/>
      <c r="E745" s="1"/>
      <c r="F745" s="1"/>
      <c r="G745" s="1"/>
      <c r="H745" s="1"/>
      <c r="I745" s="23"/>
      <c r="J745" s="1"/>
      <c r="K745" s="23"/>
      <c r="L745" s="23"/>
      <c r="M745" s="1"/>
      <c r="N745" s="23"/>
      <c r="O745" s="23"/>
      <c r="P745" s="1"/>
      <c r="Q745" s="1"/>
      <c r="R745" s="1"/>
      <c r="S745" s="23"/>
      <c r="T745" s="1"/>
      <c r="U745" s="23"/>
      <c r="V745" s="23"/>
      <c r="W745" s="1"/>
      <c r="X745" s="23"/>
      <c r="Y745" s="23"/>
      <c r="Z745" s="1"/>
      <c r="AA745" s="1"/>
      <c r="AB745" s="1"/>
      <c r="AC745" s="1"/>
      <c r="AD745" s="23"/>
      <c r="AE745" s="1"/>
      <c r="AF745" s="23"/>
      <c r="AG745" s="23"/>
      <c r="AH745" s="1"/>
      <c r="AI745" s="23"/>
      <c r="AJ745" s="23"/>
      <c r="AK745" s="1"/>
      <c r="AL745" s="1"/>
      <c r="AM745" s="1"/>
      <c r="AN745" s="1"/>
      <c r="AO745" s="23"/>
      <c r="AP745" s="1"/>
      <c r="AQ745" s="23"/>
      <c r="AR745" s="23"/>
      <c r="AS745" s="1"/>
      <c r="AX745" s="1"/>
      <c r="AY745" s="23"/>
      <c r="AZ745" s="1"/>
      <c r="BA745" s="23"/>
      <c r="BB745" s="23"/>
      <c r="BC745" s="1"/>
    </row>
    <row r="746" spans="1:55" x14ac:dyDescent="0.25">
      <c r="A746" s="1"/>
      <c r="B746" s="1"/>
      <c r="C746" s="1"/>
      <c r="D746" s="1"/>
      <c r="E746" s="1"/>
      <c r="F746" s="1"/>
      <c r="G746" s="1"/>
      <c r="H746" s="1"/>
      <c r="I746" s="23"/>
      <c r="J746" s="1"/>
      <c r="K746" s="23"/>
      <c r="L746" s="23"/>
      <c r="M746" s="1"/>
      <c r="N746" s="23"/>
      <c r="O746" s="23"/>
      <c r="P746" s="1"/>
      <c r="Q746" s="1"/>
      <c r="R746" s="1"/>
      <c r="S746" s="23"/>
      <c r="T746" s="1"/>
      <c r="U746" s="23"/>
      <c r="V746" s="23"/>
      <c r="W746" s="1"/>
      <c r="X746" s="23"/>
      <c r="Y746" s="23"/>
      <c r="Z746" s="1"/>
      <c r="AA746" s="1"/>
      <c r="AB746" s="1"/>
      <c r="AC746" s="1"/>
      <c r="AD746" s="23"/>
      <c r="AE746" s="1"/>
      <c r="AF746" s="23"/>
      <c r="AG746" s="23"/>
      <c r="AH746" s="1"/>
      <c r="AI746" s="23"/>
      <c r="AJ746" s="23"/>
      <c r="AK746" s="1"/>
      <c r="AL746" s="1"/>
      <c r="AM746" s="1"/>
      <c r="AN746" s="1"/>
      <c r="AO746" s="23"/>
      <c r="AP746" s="1"/>
      <c r="AQ746" s="23"/>
      <c r="AR746" s="23"/>
      <c r="AS746" s="1"/>
      <c r="AX746" s="1"/>
      <c r="AY746" s="23"/>
      <c r="AZ746" s="1"/>
      <c r="BA746" s="23"/>
      <c r="BB746" s="23"/>
      <c r="BC746" s="1"/>
    </row>
    <row r="747" spans="1:55" x14ac:dyDescent="0.25">
      <c r="A747" s="1"/>
      <c r="B747" s="1"/>
      <c r="C747" s="1"/>
      <c r="D747" s="1"/>
      <c r="E747" s="1"/>
      <c r="F747" s="1"/>
      <c r="G747" s="1"/>
      <c r="H747" s="1"/>
      <c r="I747" s="23"/>
      <c r="J747" s="1"/>
      <c r="K747" s="23"/>
      <c r="L747" s="23"/>
      <c r="M747" s="1"/>
      <c r="N747" s="23"/>
      <c r="O747" s="23"/>
      <c r="P747" s="1"/>
      <c r="Q747" s="1"/>
      <c r="R747" s="1"/>
      <c r="S747" s="23"/>
      <c r="T747" s="1"/>
      <c r="U747" s="23"/>
      <c r="V747" s="23"/>
      <c r="W747" s="1"/>
      <c r="X747" s="23"/>
      <c r="Y747" s="23"/>
      <c r="Z747" s="1"/>
      <c r="AA747" s="1"/>
      <c r="AB747" s="1"/>
      <c r="AC747" s="1"/>
      <c r="AD747" s="23"/>
      <c r="AE747" s="1"/>
      <c r="AF747" s="23"/>
      <c r="AG747" s="23"/>
      <c r="AH747" s="1"/>
      <c r="AI747" s="23"/>
      <c r="AJ747" s="23"/>
      <c r="AK747" s="1"/>
      <c r="AL747" s="1"/>
      <c r="AM747" s="1"/>
      <c r="AN747" s="1"/>
      <c r="AO747" s="23"/>
      <c r="AP747" s="1"/>
      <c r="AQ747" s="23"/>
      <c r="AR747" s="23"/>
      <c r="AS747" s="1"/>
      <c r="AX747" s="1"/>
      <c r="AY747" s="23"/>
      <c r="AZ747" s="1"/>
      <c r="BA747" s="23"/>
      <c r="BB747" s="23"/>
      <c r="BC747" s="1"/>
    </row>
    <row r="748" spans="1:55" x14ac:dyDescent="0.25">
      <c r="A748" s="1"/>
      <c r="B748" s="1"/>
      <c r="C748" s="1"/>
      <c r="D748" s="1"/>
      <c r="E748" s="1"/>
      <c r="F748" s="1"/>
      <c r="G748" s="1"/>
      <c r="H748" s="1"/>
      <c r="I748" s="23"/>
      <c r="J748" s="1"/>
      <c r="K748" s="23"/>
      <c r="L748" s="23"/>
      <c r="M748" s="1"/>
      <c r="N748" s="23"/>
      <c r="O748" s="23"/>
      <c r="P748" s="1"/>
      <c r="Q748" s="1"/>
      <c r="R748" s="1"/>
      <c r="S748" s="23"/>
      <c r="T748" s="1"/>
      <c r="U748" s="23"/>
      <c r="V748" s="23"/>
      <c r="W748" s="1"/>
      <c r="X748" s="23"/>
      <c r="Y748" s="23"/>
      <c r="Z748" s="1"/>
      <c r="AA748" s="1"/>
      <c r="AB748" s="1"/>
      <c r="AC748" s="1"/>
      <c r="AD748" s="23"/>
      <c r="AE748" s="1"/>
      <c r="AF748" s="23"/>
      <c r="AG748" s="23"/>
      <c r="AH748" s="1"/>
      <c r="AI748" s="23"/>
      <c r="AJ748" s="23"/>
      <c r="AK748" s="1"/>
      <c r="AL748" s="1"/>
      <c r="AM748" s="1"/>
      <c r="AN748" s="1"/>
      <c r="AO748" s="23"/>
      <c r="AP748" s="1"/>
      <c r="AQ748" s="23"/>
      <c r="AR748" s="23"/>
      <c r="AS748" s="1"/>
      <c r="AX748" s="1"/>
      <c r="AY748" s="23"/>
      <c r="AZ748" s="1"/>
      <c r="BA748" s="23"/>
      <c r="BB748" s="23"/>
      <c r="BC748" s="1"/>
    </row>
    <row r="749" spans="1:55" x14ac:dyDescent="0.25">
      <c r="A749" s="1"/>
      <c r="B749" s="1"/>
      <c r="C749" s="1"/>
      <c r="D749" s="1"/>
      <c r="E749" s="1"/>
      <c r="F749" s="1"/>
      <c r="G749" s="1"/>
      <c r="H749" s="1"/>
      <c r="I749" s="23"/>
      <c r="J749" s="1"/>
      <c r="K749" s="23"/>
      <c r="L749" s="23"/>
      <c r="M749" s="1"/>
      <c r="N749" s="23"/>
      <c r="O749" s="23"/>
      <c r="P749" s="1"/>
      <c r="Q749" s="1"/>
      <c r="R749" s="1"/>
      <c r="S749" s="23"/>
      <c r="T749" s="1"/>
      <c r="U749" s="23"/>
      <c r="V749" s="23"/>
      <c r="W749" s="1"/>
      <c r="X749" s="23"/>
      <c r="Y749" s="23"/>
      <c r="Z749" s="1"/>
      <c r="AA749" s="1"/>
      <c r="AB749" s="1"/>
      <c r="AC749" s="1"/>
      <c r="AD749" s="23"/>
      <c r="AE749" s="1"/>
      <c r="AF749" s="23"/>
      <c r="AG749" s="23"/>
      <c r="AH749" s="1"/>
      <c r="AI749" s="23"/>
      <c r="AJ749" s="23"/>
      <c r="AK749" s="1"/>
      <c r="AL749" s="1"/>
      <c r="AM749" s="1"/>
      <c r="AN749" s="1"/>
      <c r="AO749" s="23"/>
      <c r="AP749" s="1"/>
      <c r="AQ749" s="23"/>
      <c r="AR749" s="23"/>
      <c r="AS749" s="1"/>
      <c r="AX749" s="1"/>
      <c r="AY749" s="23"/>
      <c r="AZ749" s="1"/>
      <c r="BA749" s="23"/>
      <c r="BB749" s="23"/>
      <c r="BC749" s="1"/>
    </row>
    <row r="750" spans="1:55" x14ac:dyDescent="0.25">
      <c r="A750" s="1"/>
      <c r="B750" s="1"/>
      <c r="C750" s="1"/>
      <c r="D750" s="1"/>
      <c r="E750" s="1"/>
      <c r="F750" s="1"/>
      <c r="G750" s="1"/>
      <c r="H750" s="1"/>
      <c r="I750" s="23"/>
      <c r="J750" s="1"/>
      <c r="K750" s="23"/>
      <c r="L750" s="23"/>
      <c r="M750" s="1"/>
      <c r="N750" s="23"/>
      <c r="O750" s="23"/>
      <c r="P750" s="1"/>
      <c r="Q750" s="1"/>
      <c r="R750" s="1"/>
      <c r="S750" s="23"/>
      <c r="T750" s="1"/>
      <c r="U750" s="23"/>
      <c r="V750" s="23"/>
      <c r="W750" s="1"/>
      <c r="X750" s="23"/>
      <c r="Y750" s="23"/>
      <c r="Z750" s="1"/>
      <c r="AA750" s="1"/>
      <c r="AB750" s="1"/>
      <c r="AC750" s="1"/>
      <c r="AD750" s="23"/>
      <c r="AE750" s="1"/>
      <c r="AF750" s="23"/>
      <c r="AG750" s="23"/>
      <c r="AH750" s="1"/>
      <c r="AI750" s="23"/>
      <c r="AJ750" s="23"/>
      <c r="AK750" s="1"/>
      <c r="AL750" s="1"/>
      <c r="AM750" s="1"/>
      <c r="AN750" s="1"/>
      <c r="AO750" s="23"/>
      <c r="AP750" s="1"/>
      <c r="AQ750" s="23"/>
      <c r="AR750" s="23"/>
      <c r="AS750" s="1"/>
      <c r="AX750" s="1"/>
      <c r="AY750" s="23"/>
      <c r="AZ750" s="1"/>
      <c r="BA750" s="23"/>
      <c r="BB750" s="23"/>
      <c r="BC750" s="1"/>
    </row>
    <row r="751" spans="1:55" x14ac:dyDescent="0.25">
      <c r="A751" s="1"/>
      <c r="B751" s="1"/>
      <c r="C751" s="1"/>
      <c r="D751" s="1"/>
      <c r="E751" s="1"/>
      <c r="F751" s="1"/>
      <c r="G751" s="1"/>
      <c r="H751" s="1"/>
      <c r="I751" s="23"/>
      <c r="J751" s="1"/>
      <c r="K751" s="23"/>
      <c r="L751" s="23"/>
      <c r="M751" s="1"/>
      <c r="N751" s="23"/>
      <c r="O751" s="23"/>
      <c r="P751" s="1"/>
      <c r="Q751" s="1"/>
      <c r="R751" s="1"/>
      <c r="S751" s="23"/>
      <c r="T751" s="1"/>
      <c r="U751" s="23"/>
      <c r="V751" s="23"/>
      <c r="W751" s="1"/>
      <c r="X751" s="23"/>
      <c r="Y751" s="23"/>
      <c r="Z751" s="1"/>
      <c r="AA751" s="1"/>
      <c r="AB751" s="1"/>
      <c r="AC751" s="1"/>
      <c r="AD751" s="23"/>
      <c r="AE751" s="1"/>
      <c r="AF751" s="23"/>
      <c r="AG751" s="23"/>
      <c r="AH751" s="1"/>
      <c r="AI751" s="23"/>
      <c r="AJ751" s="23"/>
      <c r="AK751" s="1"/>
      <c r="AL751" s="1"/>
      <c r="AM751" s="1"/>
      <c r="AN751" s="1"/>
      <c r="AO751" s="23"/>
      <c r="AP751" s="1"/>
      <c r="AQ751" s="23"/>
      <c r="AR751" s="23"/>
      <c r="AS751" s="1"/>
      <c r="AX751" s="1"/>
      <c r="AY751" s="23"/>
      <c r="AZ751" s="1"/>
      <c r="BA751" s="23"/>
      <c r="BB751" s="23"/>
      <c r="BC751" s="1"/>
    </row>
    <row r="752" spans="1:55" x14ac:dyDescent="0.25">
      <c r="A752" s="1"/>
      <c r="B752" s="1"/>
      <c r="C752" s="1"/>
      <c r="D752" s="1"/>
      <c r="E752" s="1"/>
      <c r="F752" s="1"/>
      <c r="G752" s="1"/>
      <c r="H752" s="1"/>
      <c r="I752" s="23"/>
      <c r="J752" s="1"/>
      <c r="K752" s="23"/>
      <c r="L752" s="23"/>
      <c r="M752" s="1"/>
      <c r="N752" s="23"/>
      <c r="O752" s="23"/>
      <c r="P752" s="1"/>
      <c r="Q752" s="1"/>
      <c r="R752" s="1"/>
      <c r="S752" s="23"/>
      <c r="T752" s="1"/>
      <c r="U752" s="23"/>
      <c r="V752" s="23"/>
      <c r="W752" s="1"/>
      <c r="X752" s="23"/>
      <c r="Y752" s="23"/>
      <c r="Z752" s="1"/>
      <c r="AA752" s="1"/>
      <c r="AB752" s="1"/>
      <c r="AC752" s="1"/>
      <c r="AD752" s="23"/>
      <c r="AE752" s="1"/>
      <c r="AF752" s="23"/>
      <c r="AG752" s="23"/>
      <c r="AH752" s="1"/>
      <c r="AI752" s="23"/>
      <c r="AJ752" s="23"/>
      <c r="AK752" s="1"/>
      <c r="AL752" s="1"/>
      <c r="AM752" s="1"/>
      <c r="AN752" s="1"/>
      <c r="AO752" s="23"/>
      <c r="AP752" s="1"/>
      <c r="AQ752" s="23"/>
      <c r="AR752" s="23"/>
      <c r="AS752" s="1"/>
      <c r="AX752" s="1"/>
      <c r="AY752" s="23"/>
      <c r="AZ752" s="1"/>
      <c r="BA752" s="23"/>
      <c r="BB752" s="23"/>
      <c r="BC752" s="1"/>
    </row>
    <row r="753" spans="1:55" x14ac:dyDescent="0.25">
      <c r="A753" s="1"/>
      <c r="B753" s="1"/>
      <c r="C753" s="1"/>
      <c r="D753" s="1"/>
      <c r="E753" s="1"/>
      <c r="F753" s="1"/>
      <c r="G753" s="1"/>
      <c r="H753" s="1"/>
      <c r="I753" s="23"/>
      <c r="J753" s="1"/>
      <c r="K753" s="23"/>
      <c r="L753" s="23"/>
      <c r="M753" s="1"/>
      <c r="N753" s="23"/>
      <c r="O753" s="23"/>
      <c r="P753" s="1"/>
      <c r="Q753" s="1"/>
      <c r="R753" s="1"/>
      <c r="S753" s="23"/>
      <c r="T753" s="1"/>
      <c r="U753" s="23"/>
      <c r="V753" s="23"/>
      <c r="W753" s="1"/>
      <c r="X753" s="23"/>
      <c r="Y753" s="23"/>
      <c r="Z753" s="1"/>
      <c r="AA753" s="1"/>
      <c r="AB753" s="1"/>
      <c r="AC753" s="1"/>
      <c r="AD753" s="23"/>
      <c r="AE753" s="1"/>
      <c r="AF753" s="23"/>
      <c r="AG753" s="23"/>
      <c r="AH753" s="1"/>
      <c r="AI753" s="23"/>
      <c r="AJ753" s="23"/>
      <c r="AK753" s="1"/>
      <c r="AL753" s="1"/>
      <c r="AM753" s="1"/>
      <c r="AN753" s="1"/>
      <c r="AO753" s="23"/>
      <c r="AP753" s="1"/>
      <c r="AQ753" s="23"/>
      <c r="AR753" s="23"/>
      <c r="AS753" s="1"/>
      <c r="AX753" s="1"/>
      <c r="AY753" s="23"/>
      <c r="AZ753" s="1"/>
      <c r="BA753" s="23"/>
      <c r="BB753" s="23"/>
      <c r="BC753" s="1"/>
    </row>
    <row r="754" spans="1:55" x14ac:dyDescent="0.25">
      <c r="A754" s="1"/>
      <c r="B754" s="1"/>
      <c r="C754" s="1"/>
      <c r="D754" s="1"/>
      <c r="E754" s="1"/>
      <c r="F754" s="1"/>
      <c r="G754" s="1"/>
      <c r="H754" s="1"/>
      <c r="I754" s="23"/>
      <c r="J754" s="1"/>
      <c r="K754" s="23"/>
      <c r="L754" s="23"/>
      <c r="M754" s="1"/>
      <c r="N754" s="23"/>
      <c r="O754" s="23"/>
      <c r="P754" s="1"/>
      <c r="Q754" s="1"/>
      <c r="R754" s="1"/>
      <c r="S754" s="23"/>
      <c r="T754" s="1"/>
      <c r="U754" s="23"/>
      <c r="V754" s="23"/>
      <c r="W754" s="1"/>
      <c r="X754" s="23"/>
      <c r="Y754" s="23"/>
      <c r="Z754" s="1"/>
      <c r="AA754" s="1"/>
      <c r="AB754" s="1"/>
      <c r="AC754" s="1"/>
      <c r="AD754" s="23"/>
      <c r="AE754" s="1"/>
      <c r="AF754" s="23"/>
      <c r="AG754" s="23"/>
      <c r="AH754" s="1"/>
      <c r="AI754" s="23"/>
      <c r="AJ754" s="23"/>
      <c r="AK754" s="1"/>
      <c r="AL754" s="1"/>
      <c r="AM754" s="1"/>
      <c r="AN754" s="1"/>
      <c r="AO754" s="23"/>
      <c r="AP754" s="1"/>
      <c r="AQ754" s="23"/>
      <c r="AR754" s="23"/>
      <c r="AS754" s="1"/>
      <c r="AX754" s="1"/>
      <c r="AY754" s="23"/>
      <c r="AZ754" s="1"/>
      <c r="BA754" s="23"/>
      <c r="BB754" s="23"/>
      <c r="BC754" s="1"/>
    </row>
    <row r="755" spans="1:55" x14ac:dyDescent="0.25">
      <c r="A755" s="1"/>
      <c r="B755" s="1"/>
      <c r="C755" s="1"/>
      <c r="D755" s="1"/>
      <c r="E755" s="1"/>
      <c r="F755" s="1"/>
      <c r="G755" s="1"/>
      <c r="H755" s="1"/>
      <c r="I755" s="23"/>
      <c r="J755" s="1"/>
      <c r="K755" s="23"/>
      <c r="L755" s="23"/>
      <c r="M755" s="1"/>
      <c r="N755" s="23"/>
      <c r="O755" s="23"/>
      <c r="P755" s="1"/>
      <c r="Q755" s="1"/>
      <c r="R755" s="1"/>
      <c r="S755" s="23"/>
      <c r="T755" s="1"/>
      <c r="U755" s="23"/>
      <c r="V755" s="23"/>
      <c r="W755" s="1"/>
      <c r="X755" s="23"/>
      <c r="Y755" s="23"/>
      <c r="Z755" s="1"/>
      <c r="AA755" s="1"/>
      <c r="AB755" s="1"/>
      <c r="AC755" s="1"/>
      <c r="AD755" s="23"/>
      <c r="AE755" s="1"/>
      <c r="AF755" s="23"/>
      <c r="AG755" s="23"/>
      <c r="AH755" s="1"/>
      <c r="AI755" s="23"/>
      <c r="AJ755" s="23"/>
      <c r="AK755" s="1"/>
      <c r="AL755" s="1"/>
      <c r="AM755" s="1"/>
      <c r="AN755" s="1"/>
      <c r="AO755" s="23"/>
      <c r="AP755" s="1"/>
      <c r="AQ755" s="23"/>
      <c r="AR755" s="23"/>
      <c r="AS755" s="1"/>
      <c r="AX755" s="1"/>
      <c r="AY755" s="23"/>
      <c r="AZ755" s="1"/>
      <c r="BA755" s="23"/>
      <c r="BB755" s="23"/>
      <c r="BC755" s="1"/>
    </row>
    <row r="756" spans="1:55" x14ac:dyDescent="0.25">
      <c r="A756" s="1"/>
      <c r="B756" s="1"/>
      <c r="C756" s="1"/>
      <c r="D756" s="1"/>
      <c r="E756" s="1"/>
      <c r="F756" s="1"/>
      <c r="G756" s="1"/>
      <c r="H756" s="1"/>
      <c r="I756" s="23"/>
      <c r="J756" s="1"/>
      <c r="K756" s="23"/>
      <c r="L756" s="23"/>
      <c r="M756" s="1"/>
      <c r="N756" s="23"/>
      <c r="O756" s="23"/>
      <c r="P756" s="1"/>
      <c r="Q756" s="1"/>
      <c r="R756" s="1"/>
      <c r="S756" s="23"/>
      <c r="T756" s="1"/>
      <c r="U756" s="23"/>
      <c r="V756" s="23"/>
      <c r="W756" s="1"/>
      <c r="X756" s="23"/>
      <c r="Y756" s="23"/>
      <c r="Z756" s="1"/>
      <c r="AA756" s="1"/>
      <c r="AB756" s="1"/>
      <c r="AC756" s="1"/>
      <c r="AD756" s="23"/>
      <c r="AE756" s="1"/>
      <c r="AF756" s="23"/>
      <c r="AG756" s="23"/>
      <c r="AH756" s="1"/>
      <c r="AI756" s="23"/>
      <c r="AJ756" s="23"/>
      <c r="AK756" s="1"/>
      <c r="AL756" s="1"/>
      <c r="AM756" s="1"/>
      <c r="AN756" s="1"/>
      <c r="AO756" s="23"/>
      <c r="AP756" s="1"/>
      <c r="AQ756" s="23"/>
      <c r="AR756" s="23"/>
      <c r="AS756" s="1"/>
      <c r="AX756" s="1"/>
      <c r="AY756" s="23"/>
      <c r="AZ756" s="1"/>
      <c r="BA756" s="23"/>
      <c r="BB756" s="23"/>
      <c r="BC756" s="1"/>
    </row>
    <row r="757" spans="1:55" x14ac:dyDescent="0.25">
      <c r="A757" s="1"/>
      <c r="B757" s="1"/>
      <c r="C757" s="1"/>
      <c r="D757" s="1"/>
      <c r="E757" s="1"/>
      <c r="F757" s="1"/>
      <c r="G757" s="1"/>
      <c r="H757" s="1"/>
      <c r="I757" s="23"/>
      <c r="J757" s="1"/>
      <c r="K757" s="23"/>
      <c r="L757" s="23"/>
      <c r="M757" s="1"/>
      <c r="N757" s="23"/>
      <c r="O757" s="23"/>
      <c r="P757" s="1"/>
      <c r="Q757" s="1"/>
      <c r="R757" s="1"/>
      <c r="S757" s="23"/>
      <c r="T757" s="1"/>
      <c r="U757" s="23"/>
      <c r="V757" s="23"/>
      <c r="W757" s="1"/>
      <c r="X757" s="23"/>
      <c r="Y757" s="23"/>
      <c r="Z757" s="1"/>
      <c r="AA757" s="1"/>
      <c r="AB757" s="1"/>
      <c r="AC757" s="1"/>
      <c r="AD757" s="23"/>
      <c r="AE757" s="1"/>
      <c r="AF757" s="23"/>
      <c r="AG757" s="23"/>
      <c r="AH757" s="1"/>
      <c r="AI757" s="23"/>
      <c r="AJ757" s="23"/>
      <c r="AK757" s="1"/>
      <c r="AL757" s="1"/>
      <c r="AM757" s="1"/>
      <c r="AN757" s="1"/>
      <c r="AO757" s="23"/>
      <c r="AP757" s="1"/>
      <c r="AQ757" s="23"/>
      <c r="AR757" s="23"/>
      <c r="AS757" s="1"/>
      <c r="AX757" s="1"/>
      <c r="AY757" s="23"/>
      <c r="AZ757" s="1"/>
      <c r="BA757" s="23"/>
      <c r="BB757" s="23"/>
      <c r="BC757" s="1"/>
    </row>
    <row r="758" spans="1:55" x14ac:dyDescent="0.25">
      <c r="A758" s="1"/>
      <c r="B758" s="1"/>
      <c r="C758" s="1"/>
      <c r="D758" s="1"/>
      <c r="E758" s="1"/>
      <c r="F758" s="1"/>
      <c r="G758" s="1"/>
      <c r="H758" s="1"/>
      <c r="I758" s="23"/>
      <c r="J758" s="1"/>
      <c r="K758" s="23"/>
      <c r="L758" s="23"/>
      <c r="M758" s="1"/>
      <c r="N758" s="23"/>
      <c r="O758" s="23"/>
      <c r="P758" s="1"/>
      <c r="Q758" s="1"/>
      <c r="R758" s="1"/>
      <c r="S758" s="23"/>
      <c r="T758" s="1"/>
      <c r="U758" s="23"/>
      <c r="V758" s="23"/>
      <c r="W758" s="1"/>
      <c r="X758" s="23"/>
      <c r="Y758" s="23"/>
      <c r="Z758" s="1"/>
      <c r="AA758" s="1"/>
      <c r="AB758" s="1"/>
      <c r="AC758" s="1"/>
      <c r="AD758" s="23"/>
      <c r="AE758" s="1"/>
      <c r="AF758" s="23"/>
      <c r="AG758" s="23"/>
      <c r="AH758" s="1"/>
      <c r="AI758" s="23"/>
      <c r="AJ758" s="23"/>
      <c r="AK758" s="1"/>
      <c r="AL758" s="1"/>
      <c r="AM758" s="1"/>
      <c r="AN758" s="1"/>
      <c r="AO758" s="23"/>
      <c r="AP758" s="1"/>
      <c r="AQ758" s="23"/>
      <c r="AR758" s="23"/>
      <c r="AS758" s="1"/>
      <c r="AX758" s="1"/>
      <c r="AY758" s="23"/>
      <c r="AZ758" s="1"/>
      <c r="BA758" s="23"/>
      <c r="BB758" s="23"/>
      <c r="BC758" s="1"/>
    </row>
    <row r="759" spans="1:55" x14ac:dyDescent="0.25">
      <c r="A759" s="1"/>
      <c r="B759" s="1"/>
      <c r="C759" s="1"/>
      <c r="D759" s="1"/>
      <c r="E759" s="1"/>
      <c r="F759" s="1"/>
      <c r="G759" s="1"/>
      <c r="H759" s="1"/>
      <c r="I759" s="23"/>
      <c r="J759" s="1"/>
      <c r="K759" s="23"/>
      <c r="L759" s="23"/>
      <c r="M759" s="1"/>
      <c r="N759" s="23"/>
      <c r="O759" s="23"/>
      <c r="P759" s="1"/>
      <c r="Q759" s="1"/>
      <c r="R759" s="1"/>
      <c r="S759" s="23"/>
      <c r="T759" s="1"/>
      <c r="U759" s="23"/>
      <c r="V759" s="23"/>
      <c r="W759" s="1"/>
      <c r="X759" s="23"/>
      <c r="Y759" s="23"/>
      <c r="Z759" s="1"/>
      <c r="AA759" s="1"/>
      <c r="AB759" s="1"/>
      <c r="AC759" s="1"/>
      <c r="AD759" s="23"/>
      <c r="AE759" s="1"/>
      <c r="AF759" s="23"/>
      <c r="AG759" s="23"/>
      <c r="AH759" s="1"/>
      <c r="AI759" s="23"/>
      <c r="AJ759" s="23"/>
      <c r="AK759" s="1"/>
      <c r="AL759" s="1"/>
      <c r="AM759" s="1"/>
      <c r="AN759" s="1"/>
      <c r="AO759" s="23"/>
      <c r="AP759" s="1"/>
      <c r="AQ759" s="23"/>
      <c r="AR759" s="23"/>
      <c r="AS759" s="1"/>
      <c r="AX759" s="1"/>
      <c r="AY759" s="23"/>
      <c r="AZ759" s="1"/>
      <c r="BA759" s="23"/>
      <c r="BB759" s="23"/>
      <c r="BC759" s="1"/>
    </row>
    <row r="760" spans="1:55" x14ac:dyDescent="0.25">
      <c r="A760" s="1"/>
      <c r="B760" s="1"/>
      <c r="C760" s="1"/>
      <c r="D760" s="1"/>
      <c r="E760" s="1"/>
      <c r="F760" s="1"/>
      <c r="G760" s="1"/>
      <c r="H760" s="1"/>
      <c r="I760" s="23"/>
      <c r="J760" s="1"/>
      <c r="K760" s="23"/>
      <c r="L760" s="23"/>
      <c r="M760" s="1"/>
      <c r="N760" s="23"/>
      <c r="O760" s="23"/>
      <c r="P760" s="1"/>
      <c r="Q760" s="1"/>
      <c r="R760" s="1"/>
      <c r="S760" s="23"/>
      <c r="T760" s="1"/>
      <c r="U760" s="23"/>
      <c r="V760" s="23"/>
      <c r="W760" s="1"/>
      <c r="X760" s="23"/>
      <c r="Y760" s="23"/>
      <c r="Z760" s="1"/>
      <c r="AA760" s="1"/>
      <c r="AB760" s="1"/>
      <c r="AC760" s="1"/>
      <c r="AD760" s="23"/>
      <c r="AE760" s="1"/>
      <c r="AF760" s="23"/>
      <c r="AG760" s="23"/>
      <c r="AH760" s="1"/>
      <c r="AI760" s="23"/>
      <c r="AJ760" s="23"/>
      <c r="AK760" s="1"/>
      <c r="AL760" s="1"/>
      <c r="AM760" s="1"/>
      <c r="AN760" s="1"/>
      <c r="AO760" s="23"/>
      <c r="AP760" s="1"/>
      <c r="AQ760" s="23"/>
      <c r="AR760" s="23"/>
      <c r="AS760" s="1"/>
      <c r="AX760" s="1"/>
      <c r="AY760" s="23"/>
      <c r="AZ760" s="1"/>
      <c r="BA760" s="23"/>
      <c r="BB760" s="23"/>
      <c r="BC760" s="1"/>
    </row>
    <row r="761" spans="1:55" x14ac:dyDescent="0.25">
      <c r="A761" s="1"/>
      <c r="B761" s="1"/>
      <c r="C761" s="1"/>
      <c r="D761" s="1"/>
      <c r="E761" s="1"/>
      <c r="F761" s="1"/>
      <c r="G761" s="1"/>
      <c r="H761" s="1"/>
      <c r="I761" s="23"/>
      <c r="J761" s="1"/>
      <c r="K761" s="23"/>
      <c r="L761" s="23"/>
      <c r="M761" s="1"/>
      <c r="N761" s="23"/>
      <c r="O761" s="23"/>
      <c r="P761" s="1"/>
      <c r="Q761" s="1"/>
      <c r="R761" s="1"/>
      <c r="S761" s="23"/>
      <c r="T761" s="1"/>
      <c r="U761" s="23"/>
      <c r="V761" s="23"/>
      <c r="W761" s="1"/>
      <c r="X761" s="23"/>
      <c r="Y761" s="23"/>
      <c r="Z761" s="1"/>
      <c r="AA761" s="1"/>
      <c r="AB761" s="1"/>
      <c r="AC761" s="1"/>
      <c r="AD761" s="23"/>
      <c r="AE761" s="1"/>
      <c r="AF761" s="23"/>
      <c r="AG761" s="23"/>
      <c r="AH761" s="1"/>
      <c r="AI761" s="23"/>
      <c r="AJ761" s="23"/>
      <c r="AK761" s="1"/>
      <c r="AL761" s="1"/>
      <c r="AM761" s="1"/>
      <c r="AN761" s="1"/>
      <c r="AO761" s="23"/>
      <c r="AP761" s="1"/>
      <c r="AQ761" s="23"/>
      <c r="AR761" s="23"/>
      <c r="AS761" s="1"/>
      <c r="AX761" s="1"/>
      <c r="AY761" s="23"/>
      <c r="AZ761" s="1"/>
      <c r="BA761" s="23"/>
      <c r="BB761" s="23"/>
      <c r="BC761" s="1"/>
    </row>
    <row r="762" spans="1:55" x14ac:dyDescent="0.25">
      <c r="A762" s="1"/>
      <c r="B762" s="1"/>
      <c r="C762" s="1"/>
      <c r="D762" s="1"/>
      <c r="E762" s="1"/>
      <c r="F762" s="1"/>
      <c r="G762" s="1"/>
      <c r="H762" s="1"/>
      <c r="I762" s="23"/>
      <c r="J762" s="1"/>
      <c r="K762" s="23"/>
      <c r="L762" s="23"/>
      <c r="M762" s="1"/>
      <c r="N762" s="23"/>
      <c r="O762" s="23"/>
      <c r="P762" s="1"/>
      <c r="Q762" s="1"/>
      <c r="R762" s="1"/>
      <c r="S762" s="23"/>
      <c r="T762" s="1"/>
      <c r="U762" s="23"/>
      <c r="V762" s="23"/>
      <c r="W762" s="1"/>
      <c r="X762" s="23"/>
      <c r="Y762" s="23"/>
      <c r="Z762" s="1"/>
      <c r="AA762" s="1"/>
      <c r="AB762" s="1"/>
      <c r="AC762" s="1"/>
      <c r="AD762" s="23"/>
      <c r="AE762" s="1"/>
      <c r="AF762" s="23"/>
      <c r="AG762" s="23"/>
      <c r="AH762" s="1"/>
      <c r="AI762" s="23"/>
      <c r="AJ762" s="23"/>
      <c r="AK762" s="1"/>
      <c r="AL762" s="1"/>
      <c r="AM762" s="1"/>
      <c r="AN762" s="1"/>
      <c r="AO762" s="23"/>
      <c r="AP762" s="1"/>
      <c r="AQ762" s="23"/>
      <c r="AR762" s="23"/>
      <c r="AS762" s="1"/>
      <c r="AX762" s="1"/>
      <c r="AY762" s="23"/>
      <c r="AZ762" s="1"/>
      <c r="BA762" s="23"/>
      <c r="BB762" s="23"/>
      <c r="BC762" s="1"/>
    </row>
    <row r="763" spans="1:55" x14ac:dyDescent="0.25">
      <c r="A763" s="1"/>
      <c r="B763" s="1"/>
      <c r="C763" s="1"/>
      <c r="D763" s="1"/>
      <c r="E763" s="1"/>
      <c r="F763" s="1"/>
      <c r="G763" s="1"/>
      <c r="H763" s="1"/>
      <c r="I763" s="23"/>
      <c r="J763" s="1"/>
      <c r="K763" s="23"/>
      <c r="L763" s="23"/>
      <c r="M763" s="1"/>
      <c r="N763" s="23"/>
      <c r="O763" s="23"/>
      <c r="P763" s="1"/>
      <c r="Q763" s="1"/>
      <c r="R763" s="1"/>
      <c r="S763" s="23"/>
      <c r="T763" s="1"/>
      <c r="U763" s="23"/>
      <c r="V763" s="23"/>
      <c r="W763" s="1"/>
      <c r="X763" s="23"/>
      <c r="Y763" s="23"/>
      <c r="Z763" s="1"/>
      <c r="AA763" s="1"/>
      <c r="AB763" s="1"/>
      <c r="AC763" s="1"/>
      <c r="AD763" s="23"/>
      <c r="AE763" s="1"/>
      <c r="AF763" s="23"/>
      <c r="AG763" s="23"/>
      <c r="AH763" s="1"/>
      <c r="AI763" s="23"/>
      <c r="AJ763" s="23"/>
      <c r="AK763" s="1"/>
      <c r="AL763" s="1"/>
      <c r="AM763" s="1"/>
      <c r="AN763" s="1"/>
      <c r="AO763" s="23"/>
      <c r="AP763" s="1"/>
      <c r="AQ763" s="23"/>
      <c r="AR763" s="23"/>
      <c r="AS763" s="1"/>
      <c r="AX763" s="1"/>
      <c r="AY763" s="23"/>
      <c r="AZ763" s="1"/>
      <c r="BA763" s="23"/>
      <c r="BB763" s="23"/>
      <c r="BC763" s="1"/>
    </row>
    <row r="764" spans="1:55" x14ac:dyDescent="0.25">
      <c r="A764" s="1"/>
      <c r="B764" s="1"/>
      <c r="C764" s="1"/>
      <c r="D764" s="1"/>
      <c r="E764" s="1"/>
      <c r="F764" s="1"/>
      <c r="G764" s="1"/>
      <c r="H764" s="1"/>
      <c r="I764" s="23"/>
      <c r="J764" s="1"/>
      <c r="K764" s="23"/>
      <c r="L764" s="23"/>
      <c r="M764" s="1"/>
      <c r="N764" s="23"/>
      <c r="O764" s="23"/>
      <c r="P764" s="1"/>
      <c r="Q764" s="1"/>
      <c r="R764" s="1"/>
      <c r="S764" s="23"/>
      <c r="T764" s="1"/>
      <c r="U764" s="23"/>
      <c r="V764" s="23"/>
      <c r="W764" s="1"/>
      <c r="X764" s="23"/>
      <c r="Y764" s="23"/>
      <c r="Z764" s="1"/>
      <c r="AA764" s="1"/>
      <c r="AB764" s="1"/>
      <c r="AC764" s="1"/>
      <c r="AD764" s="23"/>
      <c r="AE764" s="1"/>
      <c r="AF764" s="23"/>
      <c r="AG764" s="23"/>
      <c r="AH764" s="1"/>
      <c r="AI764" s="23"/>
      <c r="AJ764" s="23"/>
      <c r="AK764" s="1"/>
      <c r="AL764" s="1"/>
      <c r="AM764" s="1"/>
      <c r="AN764" s="1"/>
      <c r="AO764" s="23"/>
      <c r="AP764" s="1"/>
      <c r="AQ764" s="23"/>
      <c r="AR764" s="23"/>
      <c r="AS764" s="1"/>
      <c r="AX764" s="1"/>
      <c r="AY764" s="23"/>
      <c r="AZ764" s="1"/>
      <c r="BA764" s="23"/>
      <c r="BB764" s="23"/>
      <c r="BC764" s="1"/>
    </row>
    <row r="765" spans="1:55" x14ac:dyDescent="0.25">
      <c r="A765" s="1"/>
      <c r="B765" s="1"/>
      <c r="C765" s="1"/>
      <c r="D765" s="1"/>
      <c r="E765" s="1"/>
      <c r="F765" s="1"/>
      <c r="G765" s="1"/>
      <c r="H765" s="1"/>
      <c r="I765" s="23"/>
      <c r="J765" s="1"/>
      <c r="K765" s="23"/>
      <c r="L765" s="23"/>
      <c r="M765" s="1"/>
      <c r="N765" s="23"/>
      <c r="O765" s="23"/>
      <c r="P765" s="1"/>
      <c r="Q765" s="1"/>
      <c r="R765" s="1"/>
      <c r="S765" s="23"/>
      <c r="T765" s="1"/>
      <c r="U765" s="23"/>
      <c r="V765" s="23"/>
      <c r="W765" s="1"/>
      <c r="X765" s="23"/>
      <c r="Y765" s="23"/>
      <c r="Z765" s="1"/>
      <c r="AA765" s="1"/>
      <c r="AB765" s="1"/>
      <c r="AC765" s="1"/>
      <c r="AD765" s="23"/>
      <c r="AE765" s="1"/>
      <c r="AF765" s="23"/>
      <c r="AG765" s="23"/>
      <c r="AH765" s="1"/>
      <c r="AI765" s="23"/>
      <c r="AJ765" s="23"/>
      <c r="AK765" s="1"/>
      <c r="AL765" s="1"/>
      <c r="AM765" s="1"/>
      <c r="AN765" s="1"/>
      <c r="AO765" s="23"/>
      <c r="AP765" s="1"/>
      <c r="AQ765" s="23"/>
      <c r="AR765" s="23"/>
      <c r="AS765" s="1"/>
      <c r="AX765" s="1"/>
      <c r="AY765" s="23"/>
      <c r="AZ765" s="1"/>
      <c r="BA765" s="23"/>
      <c r="BB765" s="23"/>
      <c r="BC765" s="1"/>
    </row>
    <row r="766" spans="1:55" x14ac:dyDescent="0.25">
      <c r="A766" s="1"/>
      <c r="B766" s="1"/>
      <c r="C766" s="1"/>
      <c r="D766" s="1"/>
      <c r="E766" s="1"/>
      <c r="F766" s="1"/>
      <c r="G766" s="1"/>
      <c r="H766" s="1"/>
      <c r="I766" s="23"/>
      <c r="J766" s="1"/>
      <c r="K766" s="23"/>
      <c r="L766" s="23"/>
      <c r="M766" s="1"/>
      <c r="N766" s="23"/>
      <c r="O766" s="23"/>
      <c r="P766" s="1"/>
      <c r="Q766" s="1"/>
      <c r="R766" s="1"/>
      <c r="S766" s="23"/>
      <c r="T766" s="1"/>
      <c r="U766" s="23"/>
      <c r="V766" s="23"/>
      <c r="W766" s="1"/>
      <c r="X766" s="23"/>
      <c r="Y766" s="23"/>
      <c r="Z766" s="1"/>
      <c r="AA766" s="1"/>
      <c r="AB766" s="1"/>
      <c r="AC766" s="1"/>
      <c r="AD766" s="23"/>
      <c r="AE766" s="1"/>
      <c r="AF766" s="23"/>
      <c r="AG766" s="23"/>
      <c r="AH766" s="1"/>
      <c r="AI766" s="23"/>
      <c r="AJ766" s="23"/>
      <c r="AK766" s="1"/>
      <c r="AL766" s="1"/>
      <c r="AM766" s="1"/>
      <c r="AN766" s="1"/>
      <c r="AO766" s="23"/>
      <c r="AP766" s="1"/>
      <c r="AQ766" s="23"/>
      <c r="AR766" s="23"/>
      <c r="AS766" s="1"/>
      <c r="AX766" s="1"/>
      <c r="AY766" s="23"/>
      <c r="AZ766" s="1"/>
      <c r="BA766" s="23"/>
      <c r="BB766" s="23"/>
      <c r="BC766" s="1"/>
    </row>
    <row r="767" spans="1:55" x14ac:dyDescent="0.25">
      <c r="A767" s="1"/>
      <c r="B767" s="1"/>
      <c r="C767" s="1"/>
      <c r="D767" s="1"/>
      <c r="E767" s="1"/>
      <c r="F767" s="1"/>
      <c r="G767" s="1"/>
      <c r="H767" s="1"/>
      <c r="I767" s="23"/>
      <c r="J767" s="1"/>
      <c r="K767" s="23"/>
      <c r="L767" s="23"/>
      <c r="M767" s="1"/>
      <c r="N767" s="23"/>
      <c r="O767" s="23"/>
      <c r="P767" s="1"/>
      <c r="Q767" s="1"/>
      <c r="R767" s="1"/>
      <c r="S767" s="23"/>
      <c r="T767" s="1"/>
      <c r="U767" s="23"/>
      <c r="V767" s="23"/>
      <c r="W767" s="1"/>
      <c r="X767" s="23"/>
      <c r="Y767" s="23"/>
      <c r="Z767" s="1"/>
      <c r="AA767" s="1"/>
      <c r="AB767" s="1"/>
      <c r="AC767" s="1"/>
      <c r="AD767" s="23"/>
      <c r="AE767" s="1"/>
      <c r="AF767" s="23"/>
      <c r="AG767" s="23"/>
      <c r="AH767" s="1"/>
      <c r="AI767" s="23"/>
      <c r="AJ767" s="23"/>
      <c r="AK767" s="1"/>
      <c r="AL767" s="1"/>
      <c r="AM767" s="1"/>
      <c r="AN767" s="1"/>
      <c r="AO767" s="23"/>
      <c r="AP767" s="1"/>
      <c r="AQ767" s="23"/>
      <c r="AR767" s="23"/>
      <c r="AS767" s="1"/>
      <c r="AX767" s="1"/>
      <c r="AY767" s="23"/>
      <c r="AZ767" s="1"/>
      <c r="BA767" s="23"/>
      <c r="BB767" s="23"/>
      <c r="BC767" s="1"/>
    </row>
    <row r="768" spans="1:55" x14ac:dyDescent="0.25">
      <c r="A768" s="1"/>
      <c r="B768" s="1"/>
      <c r="C768" s="1"/>
      <c r="D768" s="1"/>
      <c r="E768" s="1"/>
      <c r="F768" s="1"/>
      <c r="G768" s="1"/>
      <c r="H768" s="1"/>
      <c r="I768" s="23"/>
      <c r="J768" s="1"/>
      <c r="K768" s="23"/>
      <c r="L768" s="23"/>
      <c r="M768" s="1"/>
      <c r="N768" s="23"/>
      <c r="O768" s="23"/>
      <c r="P768" s="1"/>
      <c r="Q768" s="1"/>
      <c r="R768" s="1"/>
      <c r="S768" s="23"/>
      <c r="T768" s="1"/>
      <c r="U768" s="23"/>
      <c r="V768" s="23"/>
      <c r="W768" s="1"/>
      <c r="X768" s="23"/>
      <c r="Y768" s="23"/>
      <c r="Z768" s="1"/>
      <c r="AA768" s="1"/>
      <c r="AB768" s="1"/>
      <c r="AC768" s="1"/>
      <c r="AD768" s="23"/>
      <c r="AE768" s="1"/>
      <c r="AF768" s="23"/>
      <c r="AG768" s="23"/>
      <c r="AH768" s="1"/>
      <c r="AI768" s="23"/>
      <c r="AJ768" s="23"/>
      <c r="AK768" s="1"/>
      <c r="AL768" s="1"/>
      <c r="AM768" s="1"/>
      <c r="AN768" s="1"/>
      <c r="AO768" s="23"/>
      <c r="AP768" s="1"/>
      <c r="AQ768" s="23"/>
      <c r="AR768" s="23"/>
      <c r="AS768" s="1"/>
      <c r="AX768" s="1"/>
      <c r="AY768" s="23"/>
      <c r="AZ768" s="1"/>
      <c r="BA768" s="23"/>
      <c r="BB768" s="23"/>
      <c r="BC768" s="1"/>
    </row>
    <row r="769" spans="1:55" x14ac:dyDescent="0.25">
      <c r="A769" s="1"/>
      <c r="B769" s="1"/>
      <c r="C769" s="1"/>
      <c r="D769" s="1"/>
      <c r="E769" s="1"/>
      <c r="F769" s="1"/>
      <c r="G769" s="1"/>
      <c r="H769" s="1"/>
      <c r="I769" s="23"/>
      <c r="J769" s="1"/>
      <c r="K769" s="23"/>
      <c r="L769" s="23"/>
      <c r="M769" s="1"/>
      <c r="N769" s="23"/>
      <c r="O769" s="23"/>
      <c r="P769" s="1"/>
      <c r="Q769" s="1"/>
      <c r="R769" s="1"/>
      <c r="S769" s="23"/>
      <c r="T769" s="1"/>
      <c r="U769" s="23"/>
      <c r="V769" s="23"/>
      <c r="W769" s="1"/>
      <c r="X769" s="23"/>
      <c r="Y769" s="23"/>
      <c r="Z769" s="1"/>
      <c r="AA769" s="1"/>
      <c r="AB769" s="1"/>
      <c r="AC769" s="1"/>
      <c r="AD769" s="23"/>
      <c r="AE769" s="1"/>
      <c r="AF769" s="23"/>
      <c r="AG769" s="23"/>
      <c r="AH769" s="1"/>
      <c r="AI769" s="23"/>
      <c r="AJ769" s="23"/>
      <c r="AK769" s="1"/>
      <c r="AL769" s="1"/>
      <c r="AM769" s="1"/>
      <c r="AN769" s="1"/>
      <c r="AO769" s="23"/>
      <c r="AP769" s="1"/>
      <c r="AQ769" s="23"/>
      <c r="AR769" s="23"/>
      <c r="AS769" s="1"/>
      <c r="AX769" s="1"/>
      <c r="AY769" s="23"/>
      <c r="AZ769" s="1"/>
      <c r="BA769" s="23"/>
      <c r="BB769" s="23"/>
      <c r="BC769" s="1"/>
    </row>
    <row r="770" spans="1:55" x14ac:dyDescent="0.25">
      <c r="A770" s="1"/>
      <c r="B770" s="1"/>
      <c r="C770" s="1"/>
      <c r="D770" s="1"/>
      <c r="E770" s="1"/>
      <c r="F770" s="1"/>
      <c r="G770" s="1"/>
      <c r="H770" s="1"/>
      <c r="I770" s="23"/>
      <c r="J770" s="1"/>
      <c r="K770" s="23"/>
      <c r="L770" s="23"/>
      <c r="M770" s="1"/>
      <c r="N770" s="23"/>
      <c r="O770" s="23"/>
      <c r="P770" s="1"/>
      <c r="Q770" s="1"/>
      <c r="R770" s="1"/>
      <c r="S770" s="23"/>
      <c r="T770" s="1"/>
      <c r="U770" s="23"/>
      <c r="V770" s="23"/>
      <c r="W770" s="1"/>
      <c r="X770" s="23"/>
      <c r="Y770" s="23"/>
      <c r="Z770" s="1"/>
      <c r="AA770" s="1"/>
      <c r="AB770" s="1"/>
      <c r="AC770" s="1"/>
      <c r="AD770" s="23"/>
      <c r="AE770" s="1"/>
      <c r="AF770" s="23"/>
      <c r="AG770" s="23"/>
      <c r="AH770" s="1"/>
      <c r="AI770" s="23"/>
      <c r="AJ770" s="23"/>
      <c r="AK770" s="1"/>
      <c r="AL770" s="1"/>
      <c r="AM770" s="1"/>
      <c r="AN770" s="1"/>
      <c r="AO770" s="23"/>
      <c r="AP770" s="1"/>
      <c r="AQ770" s="23"/>
      <c r="AR770" s="23"/>
      <c r="AS770" s="1"/>
      <c r="AX770" s="1"/>
      <c r="AY770" s="23"/>
      <c r="AZ770" s="1"/>
      <c r="BA770" s="23"/>
      <c r="BB770" s="23"/>
      <c r="BC770" s="1"/>
    </row>
    <row r="771" spans="1:55" x14ac:dyDescent="0.25">
      <c r="A771" s="1"/>
      <c r="B771" s="1"/>
      <c r="C771" s="1"/>
      <c r="D771" s="1"/>
      <c r="E771" s="1"/>
      <c r="F771" s="1"/>
      <c r="G771" s="1"/>
      <c r="H771" s="1"/>
      <c r="I771" s="23"/>
      <c r="J771" s="1"/>
      <c r="K771" s="23"/>
      <c r="L771" s="23"/>
      <c r="M771" s="1"/>
      <c r="N771" s="23"/>
      <c r="O771" s="23"/>
      <c r="P771" s="1"/>
      <c r="Q771" s="1"/>
      <c r="R771" s="1"/>
      <c r="S771" s="23"/>
      <c r="T771" s="1"/>
      <c r="U771" s="23"/>
      <c r="V771" s="23"/>
      <c r="W771" s="1"/>
      <c r="X771" s="23"/>
      <c r="Y771" s="23"/>
      <c r="Z771" s="1"/>
      <c r="AA771" s="1"/>
      <c r="AB771" s="1"/>
      <c r="AC771" s="1"/>
      <c r="AD771" s="23"/>
      <c r="AE771" s="1"/>
      <c r="AF771" s="23"/>
      <c r="AG771" s="23"/>
      <c r="AH771" s="1"/>
      <c r="AI771" s="23"/>
      <c r="AJ771" s="23"/>
      <c r="AK771" s="1"/>
      <c r="AL771" s="1"/>
      <c r="AM771" s="1"/>
      <c r="AN771" s="1"/>
      <c r="AO771" s="23"/>
      <c r="AP771" s="1"/>
      <c r="AQ771" s="23"/>
      <c r="AR771" s="23"/>
      <c r="AS771" s="1"/>
      <c r="AX771" s="1"/>
      <c r="AY771" s="23"/>
      <c r="AZ771" s="1"/>
      <c r="BA771" s="23"/>
      <c r="BB771" s="23"/>
      <c r="BC771" s="1"/>
    </row>
    <row r="772" spans="1:55" x14ac:dyDescent="0.25">
      <c r="A772" s="1"/>
      <c r="B772" s="1"/>
      <c r="C772" s="1"/>
      <c r="D772" s="1"/>
      <c r="E772" s="1"/>
      <c r="F772" s="1"/>
      <c r="G772" s="1"/>
      <c r="H772" s="1"/>
      <c r="I772" s="23"/>
      <c r="J772" s="1"/>
      <c r="K772" s="23"/>
      <c r="L772" s="23"/>
      <c r="M772" s="1"/>
      <c r="N772" s="23"/>
      <c r="O772" s="23"/>
      <c r="P772" s="1"/>
      <c r="Q772" s="1"/>
      <c r="R772" s="1"/>
      <c r="S772" s="23"/>
      <c r="T772" s="1"/>
      <c r="U772" s="23"/>
      <c r="V772" s="23"/>
      <c r="W772" s="1"/>
      <c r="X772" s="23"/>
      <c r="Y772" s="23"/>
      <c r="Z772" s="1"/>
      <c r="AA772" s="1"/>
      <c r="AB772" s="1"/>
      <c r="AC772" s="1"/>
      <c r="AD772" s="23"/>
      <c r="AE772" s="1"/>
      <c r="AF772" s="23"/>
      <c r="AG772" s="23"/>
      <c r="AH772" s="1"/>
      <c r="AI772" s="23"/>
      <c r="AJ772" s="23"/>
      <c r="AK772" s="1"/>
      <c r="AL772" s="1"/>
      <c r="AM772" s="1"/>
      <c r="AN772" s="1"/>
      <c r="AO772" s="23"/>
      <c r="AP772" s="1"/>
      <c r="AQ772" s="23"/>
      <c r="AR772" s="23"/>
      <c r="AS772" s="1"/>
      <c r="AX772" s="1"/>
      <c r="AY772" s="23"/>
      <c r="AZ772" s="1"/>
      <c r="BA772" s="23"/>
      <c r="BB772" s="23"/>
      <c r="BC772" s="1"/>
    </row>
    <row r="773" spans="1:55" x14ac:dyDescent="0.25">
      <c r="A773" s="1"/>
      <c r="B773" s="1"/>
      <c r="C773" s="1"/>
      <c r="D773" s="1"/>
      <c r="E773" s="1"/>
      <c r="F773" s="1"/>
      <c r="G773" s="1"/>
      <c r="H773" s="1"/>
      <c r="I773" s="23"/>
      <c r="J773" s="1"/>
      <c r="K773" s="23"/>
      <c r="L773" s="23"/>
      <c r="M773" s="1"/>
      <c r="N773" s="23"/>
      <c r="O773" s="23"/>
      <c r="P773" s="1"/>
      <c r="Q773" s="1"/>
      <c r="R773" s="1"/>
      <c r="S773" s="23"/>
      <c r="T773" s="1"/>
      <c r="U773" s="23"/>
      <c r="V773" s="23"/>
      <c r="W773" s="1"/>
      <c r="X773" s="23"/>
      <c r="Y773" s="23"/>
      <c r="Z773" s="1"/>
      <c r="AA773" s="1"/>
      <c r="AB773" s="1"/>
      <c r="AC773" s="1"/>
      <c r="AD773" s="23"/>
      <c r="AE773" s="1"/>
      <c r="AF773" s="23"/>
      <c r="AG773" s="23"/>
      <c r="AH773" s="1"/>
      <c r="AI773" s="23"/>
      <c r="AJ773" s="23"/>
      <c r="AK773" s="1"/>
      <c r="AL773" s="1"/>
      <c r="AM773" s="1"/>
      <c r="AN773" s="1"/>
      <c r="AO773" s="23"/>
      <c r="AP773" s="1"/>
      <c r="AQ773" s="23"/>
      <c r="AR773" s="23"/>
      <c r="AS773" s="1"/>
      <c r="AX773" s="1"/>
      <c r="AY773" s="23"/>
      <c r="AZ773" s="1"/>
      <c r="BA773" s="23"/>
      <c r="BB773" s="23"/>
      <c r="BC773" s="1"/>
    </row>
    <row r="774" spans="1:55" x14ac:dyDescent="0.25">
      <c r="A774" s="1"/>
      <c r="B774" s="1"/>
      <c r="C774" s="1"/>
      <c r="D774" s="1"/>
      <c r="E774" s="1"/>
      <c r="F774" s="1"/>
      <c r="G774" s="1"/>
      <c r="H774" s="1"/>
      <c r="I774" s="23"/>
      <c r="J774" s="1"/>
      <c r="K774" s="23"/>
      <c r="L774" s="23"/>
      <c r="M774" s="1"/>
      <c r="N774" s="23"/>
      <c r="O774" s="23"/>
      <c r="P774" s="1"/>
      <c r="Q774" s="1"/>
      <c r="R774" s="1"/>
      <c r="S774" s="23"/>
      <c r="T774" s="1"/>
      <c r="U774" s="23"/>
      <c r="V774" s="23"/>
      <c r="W774" s="1"/>
      <c r="X774" s="23"/>
      <c r="Y774" s="23"/>
      <c r="Z774" s="1"/>
      <c r="AA774" s="1"/>
      <c r="AB774" s="1"/>
      <c r="AC774" s="1"/>
      <c r="AD774" s="23"/>
      <c r="AE774" s="1"/>
      <c r="AF774" s="23"/>
      <c r="AG774" s="23"/>
      <c r="AH774" s="1"/>
      <c r="AI774" s="23"/>
      <c r="AJ774" s="23"/>
      <c r="AK774" s="1"/>
      <c r="AL774" s="1"/>
      <c r="AM774" s="1"/>
      <c r="AN774" s="1"/>
      <c r="AO774" s="23"/>
      <c r="AP774" s="1"/>
      <c r="AQ774" s="23"/>
      <c r="AR774" s="23"/>
      <c r="AS774" s="1"/>
      <c r="AX774" s="1"/>
      <c r="AY774" s="23"/>
      <c r="AZ774" s="1"/>
      <c r="BA774" s="23"/>
      <c r="BB774" s="23"/>
      <c r="BC774" s="1"/>
    </row>
    <row r="775" spans="1:55" x14ac:dyDescent="0.25">
      <c r="A775" s="1"/>
      <c r="B775" s="1"/>
      <c r="C775" s="1"/>
      <c r="D775" s="1"/>
      <c r="E775" s="1"/>
      <c r="F775" s="1"/>
      <c r="G775" s="1"/>
      <c r="H775" s="1"/>
      <c r="I775" s="23"/>
      <c r="J775" s="1"/>
      <c r="K775" s="23"/>
      <c r="L775" s="23"/>
      <c r="M775" s="1"/>
      <c r="N775" s="23"/>
      <c r="O775" s="23"/>
      <c r="P775" s="1"/>
      <c r="Q775" s="1"/>
      <c r="R775" s="1"/>
      <c r="S775" s="23"/>
      <c r="T775" s="1"/>
      <c r="U775" s="23"/>
      <c r="V775" s="23"/>
      <c r="W775" s="1"/>
      <c r="X775" s="23"/>
      <c r="Y775" s="23"/>
      <c r="Z775" s="1"/>
      <c r="AA775" s="1"/>
      <c r="AB775" s="1"/>
      <c r="AC775" s="1"/>
      <c r="AD775" s="23"/>
      <c r="AE775" s="1"/>
      <c r="AF775" s="23"/>
      <c r="AG775" s="23"/>
      <c r="AH775" s="1"/>
      <c r="AI775" s="23"/>
      <c r="AJ775" s="23"/>
      <c r="AK775" s="1"/>
      <c r="AL775" s="1"/>
      <c r="AM775" s="1"/>
      <c r="AN775" s="1"/>
      <c r="AO775" s="23"/>
      <c r="AP775" s="1"/>
      <c r="AQ775" s="23"/>
      <c r="AR775" s="23"/>
      <c r="AS775" s="1"/>
      <c r="AX775" s="1"/>
      <c r="AY775" s="23"/>
      <c r="AZ775" s="1"/>
      <c r="BA775" s="23"/>
      <c r="BB775" s="23"/>
      <c r="BC775" s="1"/>
    </row>
    <row r="776" spans="1:55" x14ac:dyDescent="0.25">
      <c r="A776" s="1"/>
      <c r="B776" s="1"/>
      <c r="C776" s="1"/>
      <c r="D776" s="1"/>
      <c r="E776" s="1"/>
      <c r="F776" s="1"/>
      <c r="G776" s="1"/>
      <c r="H776" s="1"/>
      <c r="I776" s="23"/>
      <c r="J776" s="1"/>
      <c r="K776" s="23"/>
      <c r="L776" s="23"/>
      <c r="M776" s="1"/>
      <c r="N776" s="23"/>
      <c r="O776" s="23"/>
      <c r="P776" s="1"/>
      <c r="Q776" s="1"/>
      <c r="R776" s="1"/>
      <c r="S776" s="23"/>
      <c r="T776" s="1"/>
      <c r="U776" s="23"/>
      <c r="V776" s="23"/>
      <c r="W776" s="1"/>
      <c r="X776" s="23"/>
      <c r="Y776" s="23"/>
      <c r="Z776" s="1"/>
      <c r="AA776" s="1"/>
      <c r="AB776" s="1"/>
      <c r="AC776" s="1"/>
      <c r="AD776" s="23"/>
      <c r="AE776" s="1"/>
      <c r="AF776" s="23"/>
      <c r="AG776" s="23"/>
      <c r="AH776" s="1"/>
      <c r="AI776" s="23"/>
      <c r="AJ776" s="23"/>
      <c r="AK776" s="1"/>
      <c r="AL776" s="1"/>
      <c r="AM776" s="1"/>
      <c r="AN776" s="1"/>
      <c r="AO776" s="23"/>
      <c r="AP776" s="1"/>
      <c r="AQ776" s="23"/>
      <c r="AR776" s="23"/>
      <c r="AS776" s="1"/>
      <c r="AX776" s="1"/>
      <c r="AY776" s="23"/>
      <c r="AZ776" s="1"/>
      <c r="BA776" s="23"/>
      <c r="BB776" s="23"/>
      <c r="BC776" s="1"/>
    </row>
    <row r="777" spans="1:55" x14ac:dyDescent="0.25">
      <c r="A777" s="1"/>
      <c r="B777" s="1"/>
      <c r="C777" s="1"/>
      <c r="D777" s="1"/>
      <c r="E777" s="1"/>
      <c r="F777" s="1"/>
      <c r="G777" s="1"/>
      <c r="H777" s="1"/>
      <c r="I777" s="23"/>
      <c r="J777" s="1"/>
      <c r="K777" s="23"/>
      <c r="L777" s="23"/>
      <c r="M777" s="1"/>
      <c r="N777" s="23"/>
      <c r="O777" s="23"/>
      <c r="P777" s="1"/>
      <c r="Q777" s="1"/>
      <c r="R777" s="1"/>
      <c r="S777" s="23"/>
      <c r="T777" s="1"/>
      <c r="U777" s="23"/>
      <c r="V777" s="23"/>
      <c r="W777" s="1"/>
      <c r="X777" s="23"/>
      <c r="Y777" s="23"/>
      <c r="Z777" s="1"/>
      <c r="AA777" s="1"/>
      <c r="AB777" s="1"/>
      <c r="AC777" s="1"/>
      <c r="AD777" s="23"/>
      <c r="AE777" s="1"/>
      <c r="AF777" s="23"/>
      <c r="AG777" s="23"/>
      <c r="AH777" s="1"/>
      <c r="AI777" s="23"/>
      <c r="AJ777" s="23"/>
      <c r="AK777" s="1"/>
      <c r="AL777" s="1"/>
      <c r="AM777" s="1"/>
      <c r="AN777" s="1"/>
      <c r="AO777" s="23"/>
      <c r="AP777" s="1"/>
      <c r="AQ777" s="23"/>
      <c r="AR777" s="23"/>
      <c r="AS777" s="1"/>
      <c r="AX777" s="1"/>
      <c r="AY777" s="23"/>
      <c r="AZ777" s="1"/>
      <c r="BA777" s="23"/>
      <c r="BB777" s="23"/>
      <c r="BC777" s="1"/>
    </row>
    <row r="778" spans="1:55" x14ac:dyDescent="0.25">
      <c r="A778" s="1"/>
      <c r="B778" s="1"/>
      <c r="C778" s="1"/>
      <c r="D778" s="1"/>
      <c r="E778" s="1"/>
      <c r="F778" s="1"/>
      <c r="G778" s="1"/>
      <c r="H778" s="1"/>
      <c r="I778" s="23"/>
      <c r="J778" s="1"/>
      <c r="K778" s="23"/>
      <c r="L778" s="23"/>
      <c r="M778" s="1"/>
      <c r="N778" s="23"/>
      <c r="O778" s="23"/>
      <c r="P778" s="1"/>
      <c r="Q778" s="1"/>
      <c r="R778" s="1"/>
      <c r="S778" s="23"/>
      <c r="T778" s="1"/>
      <c r="U778" s="23"/>
      <c r="V778" s="23"/>
      <c r="W778" s="1"/>
      <c r="X778" s="23"/>
      <c r="Y778" s="23"/>
      <c r="Z778" s="1"/>
      <c r="AA778" s="1"/>
      <c r="AB778" s="1"/>
      <c r="AC778" s="1"/>
      <c r="AD778" s="23"/>
      <c r="AE778" s="1"/>
      <c r="AF778" s="23"/>
      <c r="AG778" s="23"/>
      <c r="AH778" s="1"/>
      <c r="AI778" s="23"/>
      <c r="AJ778" s="23"/>
      <c r="AK778" s="1"/>
      <c r="AL778" s="1"/>
      <c r="AM778" s="1"/>
      <c r="AN778" s="1"/>
      <c r="AO778" s="23"/>
      <c r="AP778" s="1"/>
      <c r="AQ778" s="23"/>
      <c r="AR778" s="23"/>
      <c r="AS778" s="1"/>
      <c r="AX778" s="1"/>
      <c r="AY778" s="23"/>
      <c r="AZ778" s="1"/>
      <c r="BA778" s="23"/>
      <c r="BB778" s="23"/>
      <c r="BC778" s="1"/>
    </row>
    <row r="779" spans="1:55" x14ac:dyDescent="0.25">
      <c r="A779" s="1"/>
      <c r="B779" s="1"/>
      <c r="C779" s="1"/>
      <c r="D779" s="1"/>
      <c r="E779" s="1"/>
      <c r="F779" s="1"/>
      <c r="G779" s="1"/>
      <c r="H779" s="1"/>
      <c r="I779" s="23"/>
      <c r="J779" s="1"/>
      <c r="K779" s="23"/>
      <c r="L779" s="23"/>
      <c r="M779" s="1"/>
      <c r="N779" s="23"/>
      <c r="O779" s="23"/>
      <c r="P779" s="1"/>
      <c r="Q779" s="1"/>
      <c r="R779" s="1"/>
      <c r="S779" s="23"/>
      <c r="T779" s="1"/>
      <c r="U779" s="23"/>
      <c r="V779" s="23"/>
      <c r="W779" s="1"/>
      <c r="X779" s="23"/>
      <c r="Y779" s="23"/>
      <c r="Z779" s="1"/>
      <c r="AA779" s="1"/>
      <c r="AB779" s="1"/>
      <c r="AC779" s="1"/>
      <c r="AD779" s="23"/>
      <c r="AE779" s="1"/>
      <c r="AF779" s="23"/>
      <c r="AG779" s="23"/>
      <c r="AH779" s="1"/>
      <c r="AI779" s="23"/>
      <c r="AJ779" s="23"/>
      <c r="AK779" s="1"/>
      <c r="AL779" s="1"/>
      <c r="AM779" s="1"/>
      <c r="AN779" s="1"/>
      <c r="AO779" s="23"/>
      <c r="AP779" s="1"/>
      <c r="AQ779" s="23"/>
      <c r="AR779" s="23"/>
      <c r="AS779" s="1"/>
      <c r="AX779" s="1"/>
      <c r="AY779" s="23"/>
      <c r="AZ779" s="1"/>
      <c r="BA779" s="23"/>
      <c r="BB779" s="23"/>
      <c r="BC779" s="1"/>
    </row>
    <row r="780" spans="1:55" x14ac:dyDescent="0.25">
      <c r="A780" s="1"/>
      <c r="B780" s="1"/>
      <c r="C780" s="1"/>
      <c r="D780" s="1"/>
      <c r="E780" s="1"/>
      <c r="F780" s="1"/>
      <c r="G780" s="1"/>
      <c r="H780" s="1"/>
      <c r="I780" s="23"/>
      <c r="J780" s="1"/>
      <c r="K780" s="23"/>
      <c r="L780" s="23"/>
      <c r="M780" s="1"/>
      <c r="N780" s="23"/>
      <c r="O780" s="23"/>
      <c r="P780" s="1"/>
      <c r="Q780" s="1"/>
      <c r="R780" s="1"/>
      <c r="S780" s="23"/>
      <c r="T780" s="1"/>
      <c r="U780" s="23"/>
      <c r="V780" s="23"/>
      <c r="W780" s="1"/>
      <c r="X780" s="23"/>
      <c r="Y780" s="23"/>
      <c r="Z780" s="1"/>
      <c r="AA780" s="1"/>
      <c r="AB780" s="1"/>
      <c r="AC780" s="1"/>
      <c r="AD780" s="23"/>
      <c r="AE780" s="1"/>
      <c r="AF780" s="23"/>
      <c r="AG780" s="23"/>
      <c r="AH780" s="1"/>
      <c r="AI780" s="23"/>
      <c r="AJ780" s="23"/>
      <c r="AK780" s="1"/>
      <c r="AL780" s="1"/>
      <c r="AM780" s="1"/>
      <c r="AN780" s="1"/>
      <c r="AO780" s="23"/>
      <c r="AP780" s="1"/>
      <c r="AQ780" s="23"/>
      <c r="AR780" s="23"/>
      <c r="AS780" s="1"/>
      <c r="AX780" s="1"/>
      <c r="AY780" s="23"/>
      <c r="AZ780" s="1"/>
      <c r="BA780" s="23"/>
      <c r="BB780" s="23"/>
      <c r="BC780" s="1"/>
    </row>
    <row r="781" spans="1:55" x14ac:dyDescent="0.25">
      <c r="A781" s="1"/>
      <c r="B781" s="1"/>
      <c r="C781" s="1"/>
      <c r="D781" s="1"/>
      <c r="E781" s="1"/>
      <c r="F781" s="1"/>
      <c r="G781" s="1"/>
      <c r="H781" s="1"/>
      <c r="I781" s="23"/>
      <c r="J781" s="1"/>
      <c r="K781" s="23"/>
      <c r="L781" s="23"/>
      <c r="M781" s="1"/>
      <c r="N781" s="23"/>
      <c r="O781" s="23"/>
      <c r="P781" s="1"/>
      <c r="Q781" s="1"/>
      <c r="R781" s="1"/>
      <c r="S781" s="23"/>
      <c r="T781" s="1"/>
      <c r="U781" s="23"/>
      <c r="V781" s="23"/>
      <c r="W781" s="1"/>
      <c r="X781" s="23"/>
      <c r="Y781" s="23"/>
      <c r="Z781" s="1"/>
      <c r="AA781" s="1"/>
      <c r="AB781" s="1"/>
      <c r="AC781" s="1"/>
      <c r="AD781" s="23"/>
      <c r="AE781" s="1"/>
      <c r="AF781" s="23"/>
      <c r="AG781" s="23"/>
      <c r="AH781" s="1"/>
      <c r="AI781" s="23"/>
      <c r="AJ781" s="23"/>
      <c r="AK781" s="1"/>
      <c r="AL781" s="1"/>
      <c r="AM781" s="1"/>
      <c r="AN781" s="1"/>
      <c r="AO781" s="23"/>
      <c r="AP781" s="1"/>
      <c r="AQ781" s="23"/>
      <c r="AR781" s="23"/>
      <c r="AS781" s="1"/>
      <c r="AX781" s="1"/>
      <c r="AY781" s="23"/>
      <c r="AZ781" s="1"/>
      <c r="BA781" s="23"/>
      <c r="BB781" s="23"/>
      <c r="BC781" s="1"/>
    </row>
    <row r="782" spans="1:55" x14ac:dyDescent="0.25">
      <c r="A782" s="1"/>
      <c r="B782" s="1"/>
      <c r="C782" s="1"/>
      <c r="D782" s="1"/>
      <c r="E782" s="1"/>
      <c r="F782" s="1"/>
      <c r="G782" s="1"/>
      <c r="H782" s="1"/>
      <c r="I782" s="23"/>
      <c r="J782" s="1"/>
      <c r="K782" s="23"/>
      <c r="L782" s="23"/>
      <c r="M782" s="1"/>
      <c r="N782" s="23"/>
      <c r="O782" s="23"/>
      <c r="P782" s="1"/>
      <c r="Q782" s="1"/>
      <c r="R782" s="1"/>
      <c r="S782" s="23"/>
      <c r="T782" s="1"/>
      <c r="U782" s="23"/>
      <c r="V782" s="23"/>
      <c r="W782" s="1"/>
      <c r="X782" s="23"/>
      <c r="Y782" s="23"/>
      <c r="Z782" s="1"/>
      <c r="AA782" s="1"/>
      <c r="AB782" s="1"/>
      <c r="AC782" s="1"/>
      <c r="AD782" s="23"/>
      <c r="AE782" s="1"/>
      <c r="AF782" s="23"/>
      <c r="AG782" s="23"/>
      <c r="AH782" s="1"/>
      <c r="AI782" s="23"/>
      <c r="AJ782" s="23"/>
      <c r="AK782" s="1"/>
      <c r="AL782" s="1"/>
      <c r="AM782" s="1"/>
      <c r="AN782" s="1"/>
      <c r="AO782" s="23"/>
      <c r="AP782" s="1"/>
      <c r="AQ782" s="23"/>
      <c r="AR782" s="23"/>
      <c r="AS782" s="1"/>
      <c r="AX782" s="1"/>
      <c r="AY782" s="23"/>
      <c r="AZ782" s="1"/>
      <c r="BA782" s="23"/>
      <c r="BB782" s="23"/>
      <c r="BC782" s="1"/>
    </row>
    <row r="783" spans="1:55" x14ac:dyDescent="0.25">
      <c r="A783" s="1"/>
      <c r="B783" s="1"/>
      <c r="C783" s="1"/>
      <c r="D783" s="1"/>
      <c r="E783" s="1"/>
      <c r="F783" s="1"/>
      <c r="G783" s="1"/>
      <c r="H783" s="1"/>
      <c r="I783" s="23"/>
      <c r="J783" s="1"/>
      <c r="K783" s="23"/>
      <c r="L783" s="23"/>
      <c r="M783" s="1"/>
      <c r="N783" s="23"/>
      <c r="O783" s="23"/>
      <c r="P783" s="1"/>
      <c r="Q783" s="1"/>
      <c r="R783" s="1"/>
      <c r="S783" s="23"/>
      <c r="T783" s="1"/>
      <c r="U783" s="23"/>
      <c r="V783" s="23"/>
      <c r="W783" s="1"/>
      <c r="X783" s="23"/>
      <c r="Y783" s="23"/>
      <c r="Z783" s="1"/>
      <c r="AA783" s="1"/>
      <c r="AB783" s="1"/>
      <c r="AC783" s="1"/>
      <c r="AD783" s="23"/>
      <c r="AE783" s="1"/>
      <c r="AF783" s="23"/>
      <c r="AG783" s="23"/>
      <c r="AH783" s="1"/>
      <c r="AI783" s="23"/>
      <c r="AJ783" s="23"/>
      <c r="AK783" s="1"/>
      <c r="AL783" s="1"/>
      <c r="AM783" s="1"/>
      <c r="AN783" s="1"/>
      <c r="AO783" s="23"/>
      <c r="AP783" s="1"/>
      <c r="AQ783" s="23"/>
      <c r="AR783" s="23"/>
      <c r="AS783" s="1"/>
      <c r="AX783" s="1"/>
      <c r="AY783" s="23"/>
      <c r="AZ783" s="1"/>
      <c r="BA783" s="23"/>
      <c r="BB783" s="23"/>
      <c r="BC783" s="1"/>
    </row>
    <row r="784" spans="1:55" x14ac:dyDescent="0.25">
      <c r="A784" s="1"/>
      <c r="B784" s="1"/>
      <c r="C784" s="1"/>
      <c r="D784" s="1"/>
      <c r="E784" s="1"/>
      <c r="F784" s="1"/>
      <c r="G784" s="1"/>
      <c r="H784" s="1"/>
      <c r="I784" s="23"/>
      <c r="J784" s="1"/>
      <c r="K784" s="23"/>
      <c r="L784" s="23"/>
      <c r="M784" s="1"/>
      <c r="N784" s="23"/>
      <c r="O784" s="23"/>
      <c r="P784" s="1"/>
      <c r="Q784" s="1"/>
      <c r="R784" s="1"/>
      <c r="S784" s="23"/>
      <c r="T784" s="1"/>
      <c r="U784" s="23"/>
      <c r="V784" s="23"/>
      <c r="W784" s="1"/>
      <c r="X784" s="23"/>
      <c r="Y784" s="23"/>
      <c r="Z784" s="1"/>
      <c r="AA784" s="1"/>
      <c r="AB784" s="1"/>
      <c r="AC784" s="1"/>
      <c r="AD784" s="23"/>
      <c r="AE784" s="1"/>
      <c r="AF784" s="23"/>
      <c r="AG784" s="23"/>
      <c r="AH784" s="1"/>
      <c r="AI784" s="23"/>
      <c r="AJ784" s="23"/>
      <c r="AK784" s="1"/>
      <c r="AL784" s="1"/>
      <c r="AM784" s="1"/>
      <c r="AN784" s="1"/>
      <c r="AO784" s="23"/>
      <c r="AP784" s="1"/>
      <c r="AQ784" s="23"/>
      <c r="AR784" s="23"/>
      <c r="AS784" s="1"/>
      <c r="AX784" s="1"/>
      <c r="AY784" s="23"/>
      <c r="AZ784" s="1"/>
      <c r="BA784" s="23"/>
      <c r="BB784" s="23"/>
      <c r="BC784" s="1"/>
    </row>
    <row r="785" spans="1:55" x14ac:dyDescent="0.25">
      <c r="A785" s="1"/>
      <c r="B785" s="1"/>
      <c r="C785" s="1"/>
      <c r="D785" s="1"/>
      <c r="E785" s="1"/>
      <c r="F785" s="1"/>
      <c r="G785" s="1"/>
      <c r="H785" s="1"/>
      <c r="I785" s="23"/>
      <c r="J785" s="1"/>
      <c r="K785" s="23"/>
      <c r="L785" s="23"/>
      <c r="M785" s="1"/>
      <c r="N785" s="23"/>
      <c r="O785" s="23"/>
      <c r="P785" s="1"/>
      <c r="Q785" s="1"/>
      <c r="R785" s="1"/>
      <c r="S785" s="23"/>
      <c r="T785" s="1"/>
      <c r="U785" s="23"/>
      <c r="V785" s="23"/>
      <c r="W785" s="1"/>
      <c r="X785" s="23"/>
      <c r="Y785" s="23"/>
      <c r="Z785" s="1"/>
      <c r="AA785" s="1"/>
      <c r="AB785" s="1"/>
      <c r="AC785" s="1"/>
      <c r="AD785" s="23"/>
      <c r="AE785" s="1"/>
      <c r="AF785" s="23"/>
      <c r="AG785" s="23"/>
      <c r="AH785" s="1"/>
      <c r="AI785" s="23"/>
      <c r="AJ785" s="23"/>
      <c r="AK785" s="1"/>
      <c r="AL785" s="1"/>
      <c r="AM785" s="1"/>
      <c r="AN785" s="1"/>
      <c r="AO785" s="23"/>
      <c r="AP785" s="1"/>
      <c r="AQ785" s="23"/>
      <c r="AR785" s="23"/>
      <c r="AS785" s="1"/>
      <c r="AX785" s="1"/>
      <c r="AY785" s="23"/>
      <c r="AZ785" s="1"/>
      <c r="BA785" s="23"/>
      <c r="BB785" s="23"/>
      <c r="BC785" s="1"/>
    </row>
    <row r="786" spans="1:55" x14ac:dyDescent="0.25">
      <c r="A786" s="1"/>
      <c r="B786" s="1"/>
      <c r="C786" s="1"/>
      <c r="D786" s="1"/>
      <c r="E786" s="1"/>
      <c r="F786" s="1"/>
      <c r="G786" s="1"/>
      <c r="H786" s="1"/>
      <c r="I786" s="23"/>
      <c r="J786" s="1"/>
      <c r="K786" s="23"/>
      <c r="L786" s="23"/>
      <c r="M786" s="1"/>
      <c r="N786" s="23"/>
      <c r="O786" s="23"/>
      <c r="P786" s="1"/>
      <c r="Q786" s="1"/>
      <c r="R786" s="1"/>
      <c r="S786" s="23"/>
      <c r="T786" s="1"/>
      <c r="U786" s="23"/>
      <c r="V786" s="23"/>
      <c r="W786" s="1"/>
      <c r="X786" s="23"/>
      <c r="Y786" s="23"/>
      <c r="Z786" s="1"/>
      <c r="AA786" s="1"/>
      <c r="AB786" s="1"/>
      <c r="AC786" s="1"/>
      <c r="AD786" s="23"/>
      <c r="AE786" s="1"/>
      <c r="AF786" s="23"/>
      <c r="AG786" s="23"/>
      <c r="AH786" s="1"/>
      <c r="AI786" s="23"/>
      <c r="AJ786" s="23"/>
      <c r="AK786" s="1"/>
      <c r="AL786" s="1"/>
      <c r="AM786" s="1"/>
      <c r="AN786" s="1"/>
      <c r="AO786" s="23"/>
      <c r="AP786" s="1"/>
      <c r="AQ786" s="23"/>
      <c r="AR786" s="23"/>
      <c r="AS786" s="1"/>
      <c r="AX786" s="1"/>
      <c r="AY786" s="23"/>
      <c r="AZ786" s="1"/>
      <c r="BA786" s="23"/>
      <c r="BB786" s="23"/>
      <c r="BC786" s="1"/>
    </row>
    <row r="787" spans="1:55" x14ac:dyDescent="0.25">
      <c r="A787" s="1"/>
      <c r="B787" s="1"/>
      <c r="C787" s="1"/>
      <c r="D787" s="1"/>
      <c r="E787" s="1"/>
      <c r="F787" s="1"/>
      <c r="G787" s="1"/>
      <c r="H787" s="1"/>
      <c r="I787" s="23"/>
      <c r="J787" s="1"/>
      <c r="K787" s="23"/>
      <c r="L787" s="23"/>
      <c r="M787" s="1"/>
      <c r="N787" s="23"/>
      <c r="O787" s="23"/>
      <c r="P787" s="1"/>
      <c r="Q787" s="1"/>
      <c r="R787" s="1"/>
      <c r="S787" s="23"/>
      <c r="T787" s="1"/>
      <c r="U787" s="23"/>
      <c r="V787" s="23"/>
      <c r="W787" s="1"/>
      <c r="X787" s="23"/>
      <c r="Y787" s="23"/>
      <c r="Z787" s="1"/>
      <c r="AA787" s="1"/>
      <c r="AB787" s="1"/>
      <c r="AC787" s="1"/>
      <c r="AD787" s="23"/>
      <c r="AE787" s="1"/>
      <c r="AF787" s="23"/>
      <c r="AG787" s="23"/>
      <c r="AH787" s="1"/>
      <c r="AI787" s="23"/>
      <c r="AJ787" s="23"/>
      <c r="AK787" s="1"/>
      <c r="AL787" s="1"/>
      <c r="AM787" s="1"/>
      <c r="AN787" s="1"/>
      <c r="AO787" s="23"/>
      <c r="AP787" s="1"/>
      <c r="AQ787" s="23"/>
      <c r="AR787" s="23"/>
      <c r="AS787" s="1"/>
      <c r="AX787" s="1"/>
      <c r="AY787" s="23"/>
      <c r="AZ787" s="1"/>
      <c r="BA787" s="23"/>
      <c r="BB787" s="23"/>
      <c r="BC787" s="1"/>
    </row>
    <row r="788" spans="1:55" x14ac:dyDescent="0.25">
      <c r="A788" s="1"/>
      <c r="B788" s="1"/>
      <c r="C788" s="1"/>
      <c r="D788" s="1"/>
      <c r="E788" s="1"/>
      <c r="F788" s="1"/>
      <c r="G788" s="1"/>
      <c r="H788" s="1"/>
      <c r="I788" s="23"/>
      <c r="J788" s="1"/>
      <c r="K788" s="23"/>
      <c r="L788" s="23"/>
      <c r="M788" s="1"/>
      <c r="N788" s="23"/>
      <c r="O788" s="23"/>
      <c r="P788" s="1"/>
      <c r="Q788" s="1"/>
      <c r="R788" s="1"/>
      <c r="S788" s="23"/>
      <c r="T788" s="1"/>
      <c r="U788" s="23"/>
      <c r="V788" s="23"/>
      <c r="W788" s="1"/>
      <c r="X788" s="23"/>
      <c r="Y788" s="23"/>
      <c r="Z788" s="1"/>
      <c r="AA788" s="1"/>
      <c r="AB788" s="1"/>
      <c r="AC788" s="1"/>
      <c r="AD788" s="23"/>
      <c r="AE788" s="1"/>
      <c r="AF788" s="23"/>
      <c r="AG788" s="23"/>
      <c r="AH788" s="1"/>
      <c r="AI788" s="23"/>
      <c r="AJ788" s="23"/>
      <c r="AK788" s="1"/>
      <c r="AL788" s="1"/>
      <c r="AM788" s="1"/>
      <c r="AN788" s="1"/>
      <c r="AO788" s="23"/>
      <c r="AP788" s="1"/>
      <c r="AQ788" s="23"/>
      <c r="AR788" s="23"/>
      <c r="AS788" s="1"/>
      <c r="AX788" s="1"/>
      <c r="AY788" s="23"/>
      <c r="AZ788" s="1"/>
      <c r="BA788" s="23"/>
      <c r="BB788" s="23"/>
      <c r="BC788" s="1"/>
    </row>
    <row r="789" spans="1:55" x14ac:dyDescent="0.25">
      <c r="A789" s="1"/>
      <c r="B789" s="1"/>
      <c r="C789" s="1"/>
      <c r="D789" s="1"/>
      <c r="E789" s="1"/>
      <c r="F789" s="1"/>
      <c r="G789" s="1"/>
      <c r="H789" s="1"/>
      <c r="I789" s="23"/>
      <c r="J789" s="1"/>
      <c r="K789" s="23"/>
      <c r="L789" s="23"/>
      <c r="M789" s="1"/>
      <c r="N789" s="23"/>
      <c r="O789" s="23"/>
      <c r="P789" s="1"/>
      <c r="Q789" s="1"/>
      <c r="R789" s="1"/>
      <c r="S789" s="23"/>
      <c r="T789" s="1"/>
      <c r="U789" s="23"/>
      <c r="V789" s="23"/>
      <c r="W789" s="1"/>
      <c r="X789" s="23"/>
      <c r="Y789" s="23"/>
      <c r="Z789" s="1"/>
      <c r="AA789" s="1"/>
      <c r="AB789" s="1"/>
      <c r="AC789" s="1"/>
      <c r="AD789" s="23"/>
      <c r="AE789" s="1"/>
      <c r="AF789" s="23"/>
      <c r="AG789" s="23"/>
      <c r="AH789" s="1"/>
      <c r="AI789" s="23"/>
      <c r="AJ789" s="23"/>
      <c r="AK789" s="1"/>
      <c r="AL789" s="1"/>
      <c r="AM789" s="1"/>
      <c r="AN789" s="1"/>
      <c r="AO789" s="23"/>
      <c r="AP789" s="1"/>
      <c r="AQ789" s="23"/>
      <c r="AR789" s="23"/>
      <c r="AS789" s="1"/>
      <c r="AX789" s="1"/>
      <c r="AY789" s="23"/>
      <c r="AZ789" s="1"/>
      <c r="BA789" s="23"/>
      <c r="BB789" s="23"/>
      <c r="BC789" s="1"/>
    </row>
    <row r="790" spans="1:55" x14ac:dyDescent="0.25">
      <c r="A790" s="1"/>
      <c r="B790" s="1"/>
      <c r="C790" s="1"/>
      <c r="D790" s="1"/>
      <c r="E790" s="1"/>
      <c r="F790" s="1"/>
      <c r="G790" s="1"/>
      <c r="H790" s="1"/>
      <c r="I790" s="23"/>
      <c r="J790" s="1"/>
      <c r="K790" s="23"/>
      <c r="L790" s="23"/>
      <c r="M790" s="1"/>
      <c r="N790" s="23"/>
      <c r="O790" s="23"/>
      <c r="P790" s="1"/>
      <c r="Q790" s="1"/>
      <c r="R790" s="1"/>
      <c r="S790" s="23"/>
      <c r="T790" s="1"/>
      <c r="U790" s="23"/>
      <c r="V790" s="23"/>
      <c r="W790" s="1"/>
      <c r="X790" s="23"/>
      <c r="Y790" s="23"/>
      <c r="Z790" s="1"/>
      <c r="AA790" s="1"/>
      <c r="AB790" s="1"/>
      <c r="AC790" s="1"/>
      <c r="AD790" s="23"/>
      <c r="AE790" s="1"/>
      <c r="AF790" s="23"/>
      <c r="AG790" s="23"/>
      <c r="AH790" s="1"/>
      <c r="AI790" s="23"/>
      <c r="AJ790" s="23"/>
      <c r="AK790" s="1"/>
      <c r="AL790" s="1"/>
      <c r="AM790" s="1"/>
      <c r="AN790" s="1"/>
      <c r="AO790" s="23"/>
      <c r="AP790" s="1"/>
      <c r="AQ790" s="23"/>
      <c r="AR790" s="23"/>
      <c r="AS790" s="1"/>
      <c r="AX790" s="1"/>
      <c r="AY790" s="23"/>
      <c r="AZ790" s="1"/>
      <c r="BA790" s="23"/>
      <c r="BB790" s="23"/>
      <c r="BC790" s="1"/>
    </row>
    <row r="791" spans="1:55" x14ac:dyDescent="0.25">
      <c r="A791" s="1"/>
      <c r="B791" s="1"/>
      <c r="C791" s="1"/>
      <c r="D791" s="1"/>
      <c r="E791" s="1"/>
      <c r="F791" s="1"/>
      <c r="G791" s="1"/>
      <c r="H791" s="1"/>
      <c r="I791" s="23"/>
      <c r="J791" s="1"/>
      <c r="K791" s="23"/>
      <c r="L791" s="23"/>
      <c r="M791" s="1"/>
      <c r="N791" s="23"/>
      <c r="O791" s="23"/>
      <c r="P791" s="1"/>
      <c r="Q791" s="1"/>
      <c r="R791" s="1"/>
      <c r="S791" s="23"/>
      <c r="T791" s="1"/>
      <c r="U791" s="23"/>
      <c r="V791" s="23"/>
      <c r="W791" s="1"/>
      <c r="X791" s="23"/>
      <c r="Y791" s="23"/>
      <c r="Z791" s="1"/>
      <c r="AA791" s="1"/>
      <c r="AB791" s="1"/>
      <c r="AC791" s="1"/>
      <c r="AD791" s="23"/>
      <c r="AE791" s="1"/>
      <c r="AF791" s="23"/>
      <c r="AG791" s="23"/>
      <c r="AH791" s="1"/>
      <c r="AI791" s="23"/>
      <c r="AJ791" s="23"/>
      <c r="AK791" s="1"/>
      <c r="AL791" s="1"/>
      <c r="AM791" s="1"/>
      <c r="AN791" s="1"/>
      <c r="AO791" s="23"/>
      <c r="AP791" s="1"/>
      <c r="AQ791" s="23"/>
      <c r="AR791" s="23"/>
      <c r="AS791" s="1"/>
      <c r="AX791" s="1"/>
      <c r="AY791" s="23"/>
      <c r="AZ791" s="1"/>
      <c r="BA791" s="23"/>
      <c r="BB791" s="23"/>
      <c r="BC791" s="1"/>
    </row>
    <row r="792" spans="1:55" x14ac:dyDescent="0.25">
      <c r="A792" s="1"/>
      <c r="B792" s="1"/>
      <c r="C792" s="1"/>
      <c r="D792" s="1"/>
      <c r="E792" s="1"/>
      <c r="F792" s="1"/>
      <c r="G792" s="1"/>
      <c r="H792" s="1"/>
      <c r="I792" s="23"/>
      <c r="J792" s="1"/>
      <c r="K792" s="23"/>
      <c r="L792" s="23"/>
      <c r="M792" s="1"/>
      <c r="N792" s="23"/>
      <c r="O792" s="23"/>
      <c r="P792" s="1"/>
      <c r="Q792" s="1"/>
      <c r="R792" s="1"/>
      <c r="S792" s="23"/>
      <c r="T792" s="1"/>
      <c r="U792" s="23"/>
      <c r="V792" s="23"/>
      <c r="W792" s="1"/>
      <c r="X792" s="23"/>
      <c r="Y792" s="23"/>
      <c r="Z792" s="1"/>
      <c r="AA792" s="1"/>
      <c r="AB792" s="1"/>
      <c r="AC792" s="1"/>
      <c r="AD792" s="23"/>
      <c r="AE792" s="1"/>
      <c r="AF792" s="23"/>
      <c r="AG792" s="23"/>
      <c r="AH792" s="1"/>
      <c r="AI792" s="23"/>
      <c r="AJ792" s="23"/>
      <c r="AK792" s="1"/>
      <c r="AL792" s="1"/>
      <c r="AM792" s="1"/>
      <c r="AN792" s="1"/>
      <c r="AO792" s="23"/>
      <c r="AP792" s="1"/>
      <c r="AQ792" s="23"/>
      <c r="AR792" s="23"/>
      <c r="AS792" s="1"/>
      <c r="AX792" s="1"/>
      <c r="AY792" s="23"/>
      <c r="AZ792" s="1"/>
      <c r="BA792" s="23"/>
      <c r="BB792" s="23"/>
      <c r="BC792" s="1"/>
    </row>
    <row r="793" spans="1:55" x14ac:dyDescent="0.25">
      <c r="A793" s="1"/>
      <c r="B793" s="1"/>
      <c r="C793" s="1"/>
      <c r="D793" s="1"/>
      <c r="E793" s="1"/>
      <c r="F793" s="1"/>
      <c r="G793" s="1"/>
      <c r="H793" s="1"/>
      <c r="I793" s="23"/>
      <c r="J793" s="1"/>
      <c r="K793" s="23"/>
      <c r="L793" s="23"/>
      <c r="M793" s="1"/>
      <c r="N793" s="23"/>
      <c r="O793" s="23"/>
      <c r="P793" s="1"/>
      <c r="Q793" s="1"/>
      <c r="R793" s="1"/>
      <c r="S793" s="23"/>
      <c r="T793" s="1"/>
      <c r="U793" s="23"/>
      <c r="V793" s="23"/>
      <c r="W793" s="1"/>
      <c r="X793" s="23"/>
      <c r="Y793" s="23"/>
      <c r="Z793" s="1"/>
      <c r="AA793" s="1"/>
      <c r="AB793" s="1"/>
      <c r="AC793" s="1"/>
      <c r="AD793" s="23"/>
      <c r="AE793" s="1"/>
      <c r="AF793" s="23"/>
      <c r="AG793" s="23"/>
      <c r="AH793" s="1"/>
      <c r="AI793" s="23"/>
      <c r="AJ793" s="23"/>
      <c r="AK793" s="1"/>
      <c r="AL793" s="1"/>
      <c r="AM793" s="1"/>
      <c r="AN793" s="1"/>
      <c r="AO793" s="23"/>
      <c r="AP793" s="1"/>
      <c r="AQ793" s="23"/>
      <c r="AR793" s="23"/>
      <c r="AS793" s="1"/>
      <c r="AX793" s="1"/>
      <c r="AY793" s="23"/>
      <c r="AZ793" s="1"/>
      <c r="BA793" s="23"/>
      <c r="BB793" s="23"/>
      <c r="BC793" s="1"/>
    </row>
    <row r="794" spans="1:55" x14ac:dyDescent="0.25">
      <c r="A794" s="1"/>
      <c r="B794" s="1"/>
      <c r="C794" s="1"/>
      <c r="D794" s="1"/>
      <c r="E794" s="1"/>
      <c r="F794" s="1"/>
      <c r="G794" s="1"/>
      <c r="H794" s="1"/>
      <c r="I794" s="23"/>
      <c r="J794" s="1"/>
      <c r="K794" s="23"/>
      <c r="L794" s="23"/>
      <c r="M794" s="1"/>
      <c r="N794" s="23"/>
      <c r="O794" s="23"/>
      <c r="P794" s="1"/>
      <c r="Q794" s="1"/>
      <c r="R794" s="1"/>
      <c r="S794" s="23"/>
      <c r="T794" s="1"/>
      <c r="U794" s="23"/>
      <c r="V794" s="23"/>
      <c r="W794" s="1"/>
      <c r="X794" s="23"/>
      <c r="Y794" s="23"/>
      <c r="Z794" s="1"/>
      <c r="AA794" s="1"/>
      <c r="AB794" s="1"/>
      <c r="AC794" s="1"/>
      <c r="AD794" s="23"/>
      <c r="AE794" s="1"/>
      <c r="AF794" s="23"/>
      <c r="AG794" s="23"/>
      <c r="AH794" s="1"/>
      <c r="AI794" s="23"/>
      <c r="AJ794" s="23"/>
      <c r="AK794" s="1"/>
      <c r="AL794" s="1"/>
      <c r="AM794" s="1"/>
      <c r="AN794" s="1"/>
      <c r="AO794" s="23"/>
      <c r="AP794" s="1"/>
      <c r="AQ794" s="23"/>
      <c r="AR794" s="23"/>
      <c r="AS794" s="1"/>
      <c r="AX794" s="1"/>
      <c r="AY794" s="23"/>
      <c r="AZ794" s="1"/>
      <c r="BA794" s="23"/>
      <c r="BB794" s="23"/>
      <c r="BC794" s="1"/>
    </row>
    <row r="795" spans="1:55" x14ac:dyDescent="0.25">
      <c r="A795" s="1"/>
      <c r="B795" s="1"/>
      <c r="C795" s="1"/>
      <c r="D795" s="1"/>
      <c r="E795" s="1"/>
      <c r="F795" s="1"/>
      <c r="G795" s="1"/>
      <c r="H795" s="1"/>
      <c r="I795" s="23"/>
      <c r="J795" s="1"/>
      <c r="K795" s="23"/>
      <c r="L795" s="23"/>
      <c r="M795" s="1"/>
      <c r="N795" s="23"/>
      <c r="O795" s="23"/>
      <c r="P795" s="1"/>
      <c r="Q795" s="1"/>
      <c r="R795" s="1"/>
      <c r="S795" s="23"/>
      <c r="T795" s="1"/>
      <c r="U795" s="23"/>
      <c r="V795" s="23"/>
      <c r="W795" s="1"/>
      <c r="X795" s="23"/>
      <c r="Y795" s="23"/>
      <c r="Z795" s="1"/>
      <c r="AA795" s="1"/>
      <c r="AB795" s="1"/>
      <c r="AC795" s="1"/>
      <c r="AD795" s="23"/>
      <c r="AE795" s="1"/>
      <c r="AF795" s="23"/>
      <c r="AG795" s="23"/>
      <c r="AH795" s="1"/>
      <c r="AI795" s="23"/>
      <c r="AJ795" s="23"/>
      <c r="AK795" s="1"/>
      <c r="AL795" s="1"/>
      <c r="AM795" s="1"/>
      <c r="AN795" s="1"/>
      <c r="AO795" s="23"/>
      <c r="AP795" s="1"/>
      <c r="AQ795" s="23"/>
      <c r="AR795" s="23"/>
      <c r="AS795" s="1"/>
      <c r="AX795" s="1"/>
      <c r="AY795" s="23"/>
      <c r="AZ795" s="1"/>
      <c r="BA795" s="23"/>
      <c r="BB795" s="23"/>
      <c r="BC795" s="1"/>
    </row>
    <row r="796" spans="1:55" x14ac:dyDescent="0.25">
      <c r="A796" s="1"/>
      <c r="B796" s="1"/>
      <c r="C796" s="1"/>
      <c r="D796" s="1"/>
      <c r="E796" s="1"/>
      <c r="F796" s="1"/>
      <c r="G796" s="1"/>
      <c r="H796" s="1"/>
      <c r="I796" s="23"/>
      <c r="J796" s="1"/>
      <c r="K796" s="23"/>
      <c r="L796" s="23"/>
      <c r="M796" s="1"/>
      <c r="N796" s="23"/>
      <c r="O796" s="23"/>
      <c r="P796" s="1"/>
      <c r="Q796" s="1"/>
      <c r="R796" s="1"/>
      <c r="S796" s="23"/>
      <c r="T796" s="1"/>
      <c r="U796" s="23"/>
      <c r="V796" s="23"/>
      <c r="W796" s="1"/>
      <c r="X796" s="23"/>
      <c r="Y796" s="23"/>
      <c r="Z796" s="1"/>
      <c r="AA796" s="1"/>
      <c r="AB796" s="1"/>
      <c r="AC796" s="1"/>
      <c r="AD796" s="23"/>
      <c r="AE796" s="1"/>
      <c r="AF796" s="23"/>
      <c r="AG796" s="23"/>
      <c r="AH796" s="1"/>
      <c r="AI796" s="23"/>
      <c r="AJ796" s="23"/>
      <c r="AK796" s="1"/>
      <c r="AL796" s="1"/>
      <c r="AM796" s="1"/>
      <c r="AN796" s="1"/>
      <c r="AO796" s="23"/>
      <c r="AP796" s="1"/>
      <c r="AQ796" s="23"/>
      <c r="AR796" s="23"/>
      <c r="AS796" s="1"/>
      <c r="AX796" s="1"/>
      <c r="AY796" s="23"/>
      <c r="AZ796" s="1"/>
      <c r="BA796" s="23"/>
      <c r="BB796" s="23"/>
      <c r="BC796" s="1"/>
    </row>
    <row r="797" spans="1:55" x14ac:dyDescent="0.25">
      <c r="A797" s="1"/>
      <c r="B797" s="1"/>
      <c r="C797" s="1"/>
      <c r="D797" s="1"/>
      <c r="E797" s="1"/>
      <c r="F797" s="1"/>
      <c r="G797" s="1"/>
      <c r="H797" s="1"/>
      <c r="I797" s="23"/>
      <c r="J797" s="1"/>
      <c r="K797" s="23"/>
      <c r="L797" s="23"/>
      <c r="M797" s="1"/>
      <c r="N797" s="23"/>
      <c r="O797" s="23"/>
      <c r="P797" s="1"/>
      <c r="Q797" s="1"/>
      <c r="R797" s="1"/>
      <c r="S797" s="23"/>
      <c r="T797" s="1"/>
      <c r="U797" s="23"/>
      <c r="V797" s="23"/>
      <c r="W797" s="1"/>
      <c r="X797" s="23"/>
      <c r="Y797" s="23"/>
      <c r="Z797" s="1"/>
      <c r="AA797" s="1"/>
      <c r="AB797" s="1"/>
      <c r="AC797" s="1"/>
      <c r="AD797" s="23"/>
      <c r="AE797" s="1"/>
      <c r="AF797" s="23"/>
      <c r="AG797" s="23"/>
      <c r="AH797" s="1"/>
      <c r="AI797" s="23"/>
      <c r="AJ797" s="23"/>
      <c r="AK797" s="1"/>
      <c r="AL797" s="1"/>
      <c r="AM797" s="1"/>
      <c r="AN797" s="1"/>
      <c r="AO797" s="23"/>
      <c r="AP797" s="1"/>
      <c r="AQ797" s="23"/>
      <c r="AR797" s="23"/>
      <c r="AS797" s="1"/>
      <c r="AX797" s="1"/>
      <c r="AY797" s="23"/>
      <c r="AZ797" s="1"/>
      <c r="BA797" s="23"/>
      <c r="BB797" s="23"/>
      <c r="BC797" s="1"/>
    </row>
    <row r="798" spans="1:55" x14ac:dyDescent="0.25">
      <c r="A798" s="1"/>
      <c r="B798" s="1"/>
      <c r="C798" s="1"/>
      <c r="D798" s="1"/>
      <c r="E798" s="1"/>
      <c r="F798" s="1"/>
      <c r="G798" s="1"/>
      <c r="H798" s="1"/>
      <c r="I798" s="23"/>
      <c r="J798" s="1"/>
      <c r="K798" s="23"/>
      <c r="L798" s="23"/>
      <c r="M798" s="1"/>
      <c r="N798" s="23"/>
      <c r="O798" s="23"/>
      <c r="P798" s="1"/>
      <c r="Q798" s="1"/>
      <c r="R798" s="1"/>
      <c r="S798" s="23"/>
      <c r="T798" s="1"/>
      <c r="U798" s="23"/>
      <c r="V798" s="23"/>
      <c r="W798" s="1"/>
      <c r="X798" s="23"/>
      <c r="Y798" s="23"/>
      <c r="Z798" s="1"/>
      <c r="AA798" s="1"/>
      <c r="AB798" s="1"/>
      <c r="AC798" s="1"/>
      <c r="AD798" s="23"/>
      <c r="AE798" s="1"/>
      <c r="AF798" s="23"/>
      <c r="AG798" s="23"/>
      <c r="AH798" s="1"/>
      <c r="AI798" s="23"/>
      <c r="AJ798" s="23"/>
      <c r="AK798" s="1"/>
      <c r="AL798" s="1"/>
      <c r="AM798" s="1"/>
      <c r="AN798" s="1"/>
      <c r="AO798" s="23"/>
      <c r="AP798" s="1"/>
      <c r="AQ798" s="23"/>
      <c r="AR798" s="23"/>
      <c r="AS798" s="1"/>
      <c r="AX798" s="1"/>
      <c r="AY798" s="23"/>
      <c r="AZ798" s="1"/>
      <c r="BA798" s="23"/>
      <c r="BB798" s="23"/>
      <c r="BC798" s="1"/>
    </row>
    <row r="799" spans="1:55" x14ac:dyDescent="0.25">
      <c r="A799" s="1"/>
      <c r="B799" s="1"/>
      <c r="C799" s="1"/>
      <c r="D799" s="1"/>
      <c r="E799" s="1"/>
      <c r="F799" s="1"/>
      <c r="G799" s="1"/>
      <c r="H799" s="1"/>
      <c r="I799" s="23"/>
      <c r="J799" s="1"/>
      <c r="K799" s="23"/>
      <c r="L799" s="23"/>
      <c r="M799" s="1"/>
      <c r="N799" s="23"/>
      <c r="O799" s="23"/>
      <c r="P799" s="1"/>
      <c r="Q799" s="1"/>
      <c r="R799" s="1"/>
      <c r="S799" s="23"/>
      <c r="T799" s="1"/>
      <c r="U799" s="23"/>
      <c r="V799" s="23"/>
      <c r="W799" s="1"/>
      <c r="X799" s="23"/>
      <c r="Y799" s="23"/>
      <c r="Z799" s="1"/>
      <c r="AA799" s="1"/>
      <c r="AB799" s="1"/>
      <c r="AC799" s="1"/>
      <c r="AD799" s="23"/>
      <c r="AE799" s="1"/>
      <c r="AF799" s="23"/>
      <c r="AG799" s="23"/>
      <c r="AH799" s="1"/>
      <c r="AI799" s="23"/>
      <c r="AJ799" s="23"/>
      <c r="AK799" s="1"/>
      <c r="AL799" s="1"/>
      <c r="AM799" s="1"/>
      <c r="AN799" s="1"/>
      <c r="AO799" s="23"/>
      <c r="AP799" s="1"/>
      <c r="AQ799" s="23"/>
      <c r="AR799" s="23"/>
      <c r="AS799" s="1"/>
      <c r="AX799" s="1"/>
      <c r="AY799" s="23"/>
      <c r="AZ799" s="1"/>
      <c r="BA799" s="23"/>
      <c r="BB799" s="23"/>
      <c r="BC799" s="1"/>
    </row>
    <row r="800" spans="1:55" x14ac:dyDescent="0.25">
      <c r="A800" s="1"/>
      <c r="B800" s="1"/>
      <c r="C800" s="1"/>
      <c r="D800" s="1"/>
      <c r="E800" s="1"/>
      <c r="F800" s="1"/>
      <c r="G800" s="1"/>
      <c r="H800" s="1"/>
      <c r="I800" s="23"/>
      <c r="J800" s="1"/>
      <c r="K800" s="23"/>
      <c r="L800" s="23"/>
      <c r="M800" s="1"/>
      <c r="N800" s="23"/>
      <c r="O800" s="23"/>
      <c r="P800" s="1"/>
      <c r="Q800" s="1"/>
      <c r="R800" s="1"/>
      <c r="S800" s="23"/>
      <c r="T800" s="1"/>
      <c r="U800" s="23"/>
      <c r="V800" s="23"/>
      <c r="W800" s="1"/>
      <c r="X800" s="23"/>
      <c r="Y800" s="23"/>
      <c r="Z800" s="1"/>
      <c r="AA800" s="1"/>
      <c r="AB800" s="1"/>
      <c r="AC800" s="1"/>
      <c r="AD800" s="23"/>
      <c r="AE800" s="1"/>
      <c r="AF800" s="23"/>
      <c r="AG800" s="23"/>
      <c r="AH800" s="1"/>
      <c r="AI800" s="23"/>
      <c r="AJ800" s="23"/>
      <c r="AK800" s="1"/>
      <c r="AL800" s="1"/>
      <c r="AM800" s="1"/>
      <c r="AN800" s="1"/>
      <c r="AO800" s="23"/>
      <c r="AP800" s="1"/>
      <c r="AQ800" s="23"/>
      <c r="AR800" s="23"/>
      <c r="AS800" s="1"/>
      <c r="AX800" s="1"/>
      <c r="AY800" s="23"/>
      <c r="AZ800" s="1"/>
      <c r="BA800" s="23"/>
      <c r="BB800" s="23"/>
      <c r="BC800" s="1"/>
    </row>
    <row r="801" spans="1:55" x14ac:dyDescent="0.25">
      <c r="A801" s="1"/>
      <c r="B801" s="1"/>
      <c r="C801" s="1"/>
      <c r="D801" s="1"/>
      <c r="E801" s="1"/>
      <c r="F801" s="1"/>
      <c r="G801" s="1"/>
      <c r="H801" s="1"/>
      <c r="I801" s="23"/>
      <c r="J801" s="1"/>
      <c r="K801" s="23"/>
      <c r="L801" s="23"/>
      <c r="M801" s="1"/>
      <c r="N801" s="23"/>
      <c r="O801" s="23"/>
      <c r="P801" s="1"/>
      <c r="Q801" s="1"/>
      <c r="R801" s="1"/>
      <c r="S801" s="23"/>
      <c r="T801" s="1"/>
      <c r="U801" s="23"/>
      <c r="V801" s="23"/>
      <c r="W801" s="1"/>
      <c r="X801" s="23"/>
      <c r="Y801" s="23"/>
      <c r="Z801" s="1"/>
      <c r="AA801" s="1"/>
      <c r="AB801" s="1"/>
      <c r="AC801" s="1"/>
      <c r="AD801" s="23"/>
      <c r="AE801" s="1"/>
      <c r="AF801" s="23"/>
      <c r="AG801" s="23"/>
      <c r="AH801" s="1"/>
      <c r="AI801" s="23"/>
      <c r="AJ801" s="23"/>
      <c r="AK801" s="1"/>
      <c r="AL801" s="1"/>
      <c r="AM801" s="1"/>
      <c r="AN801" s="1"/>
      <c r="AO801" s="23"/>
      <c r="AP801" s="1"/>
      <c r="AQ801" s="23"/>
      <c r="AR801" s="23"/>
      <c r="AS801" s="1"/>
      <c r="AX801" s="1"/>
      <c r="AY801" s="23"/>
      <c r="AZ801" s="1"/>
      <c r="BA801" s="23"/>
      <c r="BB801" s="23"/>
      <c r="BC801" s="1"/>
    </row>
    <row r="802" spans="1:55" x14ac:dyDescent="0.25">
      <c r="A802" s="1"/>
      <c r="B802" s="1"/>
      <c r="C802" s="1"/>
      <c r="D802" s="1"/>
      <c r="E802" s="1"/>
      <c r="F802" s="1"/>
      <c r="G802" s="1"/>
      <c r="H802" s="1"/>
      <c r="I802" s="23"/>
      <c r="J802" s="1"/>
      <c r="K802" s="23"/>
      <c r="L802" s="23"/>
      <c r="M802" s="1"/>
      <c r="N802" s="23"/>
      <c r="O802" s="23"/>
      <c r="P802" s="1"/>
      <c r="Q802" s="1"/>
      <c r="R802" s="1"/>
      <c r="S802" s="23"/>
      <c r="T802" s="1"/>
      <c r="U802" s="23"/>
      <c r="V802" s="23"/>
      <c r="W802" s="1"/>
      <c r="X802" s="23"/>
      <c r="Y802" s="23"/>
      <c r="Z802" s="1"/>
      <c r="AA802" s="1"/>
      <c r="AB802" s="1"/>
      <c r="AC802" s="1"/>
      <c r="AD802" s="23"/>
      <c r="AE802" s="1"/>
      <c r="AF802" s="23"/>
      <c r="AG802" s="23"/>
      <c r="AH802" s="1"/>
      <c r="AI802" s="23"/>
      <c r="AJ802" s="23"/>
      <c r="AK802" s="1"/>
      <c r="AL802" s="1"/>
      <c r="AM802" s="1"/>
      <c r="AN802" s="1"/>
      <c r="AO802" s="23"/>
      <c r="AP802" s="1"/>
      <c r="AQ802" s="23"/>
      <c r="AR802" s="23"/>
      <c r="AS802" s="1"/>
      <c r="AX802" s="1"/>
      <c r="AY802" s="23"/>
      <c r="AZ802" s="1"/>
      <c r="BA802" s="23"/>
      <c r="BB802" s="23"/>
      <c r="BC802" s="1"/>
    </row>
    <row r="803" spans="1:55" x14ac:dyDescent="0.25">
      <c r="A803" s="1"/>
      <c r="B803" s="1"/>
      <c r="C803" s="1"/>
      <c r="D803" s="1"/>
      <c r="E803" s="1"/>
      <c r="F803" s="1"/>
      <c r="G803" s="1"/>
      <c r="H803" s="1"/>
      <c r="I803" s="23"/>
      <c r="J803" s="1"/>
      <c r="K803" s="23"/>
      <c r="L803" s="23"/>
      <c r="M803" s="1"/>
      <c r="N803" s="23"/>
      <c r="O803" s="23"/>
      <c r="P803" s="1"/>
      <c r="Q803" s="1"/>
      <c r="R803" s="1"/>
      <c r="S803" s="23"/>
      <c r="T803" s="1"/>
      <c r="U803" s="23"/>
      <c r="V803" s="23"/>
      <c r="W803" s="1"/>
      <c r="X803" s="23"/>
      <c r="Y803" s="23"/>
      <c r="Z803" s="1"/>
      <c r="AA803" s="1"/>
      <c r="AB803" s="1"/>
      <c r="AC803" s="1"/>
      <c r="AD803" s="23"/>
      <c r="AE803" s="1"/>
      <c r="AF803" s="23"/>
      <c r="AG803" s="23"/>
      <c r="AH803" s="1"/>
      <c r="AI803" s="23"/>
      <c r="AJ803" s="23"/>
      <c r="AK803" s="1"/>
      <c r="AL803" s="1"/>
      <c r="AM803" s="1"/>
      <c r="AN803" s="1"/>
      <c r="AO803" s="23"/>
      <c r="AP803" s="1"/>
      <c r="AQ803" s="23"/>
      <c r="AR803" s="23"/>
      <c r="AS803" s="1"/>
      <c r="AX803" s="1"/>
      <c r="AY803" s="23"/>
      <c r="AZ803" s="1"/>
      <c r="BA803" s="23"/>
      <c r="BB803" s="23"/>
      <c r="BC803" s="1"/>
    </row>
    <row r="804" spans="1:55" x14ac:dyDescent="0.25">
      <c r="A804" s="1"/>
      <c r="B804" s="1"/>
      <c r="C804" s="1"/>
      <c r="D804" s="1"/>
      <c r="E804" s="1"/>
      <c r="F804" s="1"/>
      <c r="G804" s="1"/>
      <c r="H804" s="1"/>
      <c r="I804" s="23"/>
      <c r="J804" s="1"/>
      <c r="K804" s="23"/>
      <c r="L804" s="23"/>
      <c r="M804" s="1"/>
      <c r="N804" s="23"/>
      <c r="O804" s="23"/>
      <c r="P804" s="1"/>
      <c r="Q804" s="1"/>
      <c r="R804" s="1"/>
      <c r="S804" s="23"/>
      <c r="T804" s="1"/>
      <c r="U804" s="23"/>
      <c r="V804" s="23"/>
      <c r="W804" s="1"/>
      <c r="X804" s="23"/>
      <c r="Y804" s="23"/>
      <c r="Z804" s="1"/>
      <c r="AA804" s="1"/>
      <c r="AB804" s="1"/>
      <c r="AC804" s="1"/>
      <c r="AD804" s="23"/>
      <c r="AE804" s="1"/>
      <c r="AF804" s="23"/>
      <c r="AG804" s="23"/>
      <c r="AH804" s="1"/>
      <c r="AI804" s="23"/>
      <c r="AJ804" s="23"/>
      <c r="AK804" s="1"/>
      <c r="AL804" s="1"/>
      <c r="AM804" s="1"/>
      <c r="AN804" s="1"/>
      <c r="AO804" s="23"/>
      <c r="AP804" s="1"/>
      <c r="AQ804" s="23"/>
      <c r="AR804" s="23"/>
      <c r="AS804" s="1"/>
      <c r="AX804" s="1"/>
      <c r="AY804" s="23"/>
      <c r="AZ804" s="1"/>
      <c r="BA804" s="23"/>
      <c r="BB804" s="23"/>
      <c r="BC804" s="1"/>
    </row>
    <row r="805" spans="1:55" x14ac:dyDescent="0.25">
      <c r="A805" s="1"/>
      <c r="B805" s="1"/>
      <c r="C805" s="1"/>
      <c r="D805" s="1"/>
      <c r="E805" s="1"/>
      <c r="F805" s="1"/>
      <c r="G805" s="1"/>
      <c r="H805" s="1"/>
      <c r="I805" s="23"/>
      <c r="J805" s="1"/>
      <c r="K805" s="23"/>
      <c r="L805" s="23"/>
      <c r="M805" s="1"/>
      <c r="N805" s="23"/>
      <c r="O805" s="23"/>
      <c r="P805" s="1"/>
      <c r="Q805" s="1"/>
      <c r="R805" s="1"/>
      <c r="S805" s="23"/>
      <c r="T805" s="1"/>
      <c r="U805" s="23"/>
      <c r="V805" s="23"/>
      <c r="W805" s="1"/>
      <c r="X805" s="23"/>
      <c r="Y805" s="23"/>
      <c r="Z805" s="1"/>
      <c r="AA805" s="1"/>
      <c r="AB805" s="1"/>
      <c r="AC805" s="1"/>
      <c r="AD805" s="23"/>
      <c r="AE805" s="1"/>
      <c r="AF805" s="23"/>
      <c r="AG805" s="23"/>
      <c r="AH805" s="1"/>
      <c r="AI805" s="23"/>
      <c r="AJ805" s="23"/>
      <c r="AK805" s="1"/>
      <c r="AL805" s="1"/>
      <c r="AM805" s="1"/>
      <c r="AN805" s="1"/>
      <c r="AO805" s="23"/>
      <c r="AP805" s="1"/>
      <c r="AQ805" s="23"/>
      <c r="AR805" s="23"/>
      <c r="AS805" s="1"/>
      <c r="AX805" s="1"/>
      <c r="AY805" s="23"/>
      <c r="AZ805" s="1"/>
      <c r="BA805" s="23"/>
      <c r="BB805" s="23"/>
      <c r="BC805" s="1"/>
    </row>
    <row r="806" spans="1:55" x14ac:dyDescent="0.25">
      <c r="A806" s="1"/>
      <c r="B806" s="1"/>
      <c r="C806" s="1"/>
      <c r="D806" s="1"/>
      <c r="E806" s="1"/>
      <c r="F806" s="1"/>
      <c r="G806" s="1"/>
      <c r="H806" s="1"/>
      <c r="I806" s="23"/>
      <c r="J806" s="1"/>
      <c r="K806" s="23"/>
      <c r="L806" s="23"/>
      <c r="M806" s="1"/>
      <c r="N806" s="23"/>
      <c r="O806" s="23"/>
      <c r="P806" s="1"/>
      <c r="Q806" s="1"/>
      <c r="R806" s="1"/>
      <c r="S806" s="23"/>
      <c r="T806" s="1"/>
      <c r="U806" s="23"/>
      <c r="V806" s="23"/>
      <c r="W806" s="1"/>
      <c r="X806" s="23"/>
      <c r="Y806" s="23"/>
      <c r="Z806" s="1"/>
      <c r="AA806" s="1"/>
      <c r="AB806" s="1"/>
      <c r="AC806" s="1"/>
      <c r="AD806" s="23"/>
      <c r="AE806" s="1"/>
      <c r="AF806" s="23"/>
      <c r="AG806" s="23"/>
      <c r="AH806" s="1"/>
      <c r="AI806" s="23"/>
      <c r="AJ806" s="23"/>
      <c r="AK806" s="1"/>
      <c r="AL806" s="1"/>
      <c r="AM806" s="1"/>
      <c r="AN806" s="1"/>
      <c r="AO806" s="23"/>
      <c r="AP806" s="1"/>
      <c r="AQ806" s="23"/>
      <c r="AR806" s="23"/>
      <c r="AS806" s="1"/>
      <c r="AX806" s="1"/>
      <c r="AY806" s="23"/>
      <c r="AZ806" s="1"/>
      <c r="BA806" s="23"/>
      <c r="BB806" s="23"/>
      <c r="BC806" s="1"/>
    </row>
    <row r="807" spans="1:55" x14ac:dyDescent="0.25">
      <c r="A807" s="1"/>
      <c r="B807" s="1"/>
      <c r="C807" s="1"/>
      <c r="D807" s="1"/>
      <c r="E807" s="1"/>
      <c r="F807" s="1"/>
      <c r="G807" s="1"/>
      <c r="H807" s="1"/>
      <c r="I807" s="23"/>
      <c r="J807" s="1"/>
      <c r="K807" s="23"/>
      <c r="L807" s="23"/>
      <c r="M807" s="1"/>
      <c r="N807" s="23"/>
      <c r="O807" s="23"/>
      <c r="P807" s="1"/>
      <c r="Q807" s="1"/>
      <c r="R807" s="1"/>
      <c r="S807" s="23"/>
      <c r="T807" s="1"/>
      <c r="U807" s="23"/>
      <c r="V807" s="23"/>
      <c r="W807" s="1"/>
      <c r="X807" s="23"/>
      <c r="Y807" s="23"/>
      <c r="Z807" s="1"/>
      <c r="AA807" s="1"/>
      <c r="AB807" s="1"/>
      <c r="AC807" s="1"/>
      <c r="AD807" s="23"/>
      <c r="AE807" s="1"/>
      <c r="AF807" s="23"/>
      <c r="AG807" s="23"/>
      <c r="AH807" s="1"/>
      <c r="AI807" s="23"/>
      <c r="AJ807" s="23"/>
      <c r="AK807" s="1"/>
      <c r="AL807" s="1"/>
      <c r="AM807" s="1"/>
      <c r="AN807" s="1"/>
      <c r="AO807" s="23"/>
      <c r="AP807" s="1"/>
      <c r="AQ807" s="23"/>
      <c r="AR807" s="23"/>
      <c r="AS807" s="1"/>
      <c r="AX807" s="1"/>
      <c r="AY807" s="23"/>
      <c r="AZ807" s="1"/>
      <c r="BA807" s="23"/>
      <c r="BB807" s="23"/>
      <c r="BC807" s="1"/>
    </row>
    <row r="808" spans="1:55" x14ac:dyDescent="0.25">
      <c r="A808" s="1"/>
      <c r="B808" s="1"/>
      <c r="C808" s="1"/>
      <c r="D808" s="1"/>
      <c r="E808" s="1"/>
      <c r="F808" s="1"/>
      <c r="G808" s="1"/>
      <c r="H808" s="1"/>
      <c r="I808" s="23"/>
      <c r="J808" s="1"/>
      <c r="K808" s="23"/>
      <c r="L808" s="23"/>
      <c r="M808" s="1"/>
      <c r="N808" s="23"/>
      <c r="O808" s="23"/>
      <c r="P808" s="1"/>
      <c r="Q808" s="1"/>
      <c r="R808" s="1"/>
      <c r="S808" s="23"/>
      <c r="T808" s="1"/>
      <c r="U808" s="23"/>
      <c r="V808" s="23"/>
      <c r="W808" s="1"/>
      <c r="X808" s="23"/>
      <c r="Y808" s="23"/>
      <c r="Z808" s="1"/>
      <c r="AA808" s="1"/>
      <c r="AB808" s="1"/>
      <c r="AC808" s="1"/>
      <c r="AD808" s="23"/>
      <c r="AE808" s="1"/>
      <c r="AF808" s="23"/>
      <c r="AG808" s="23"/>
      <c r="AH808" s="1"/>
      <c r="AI808" s="23"/>
      <c r="AJ808" s="23"/>
      <c r="AK808" s="1"/>
      <c r="AL808" s="1"/>
      <c r="AM808" s="1"/>
      <c r="AN808" s="1"/>
      <c r="AO808" s="23"/>
      <c r="AP808" s="1"/>
      <c r="AQ808" s="23"/>
      <c r="AR808" s="23"/>
      <c r="AS808" s="1"/>
      <c r="AX808" s="1"/>
      <c r="AY808" s="23"/>
      <c r="AZ808" s="1"/>
      <c r="BA808" s="23"/>
      <c r="BB808" s="23"/>
      <c r="BC808" s="1"/>
    </row>
    <row r="809" spans="1:55" x14ac:dyDescent="0.25">
      <c r="A809" s="1"/>
      <c r="B809" s="1"/>
      <c r="C809" s="1"/>
      <c r="D809" s="1"/>
      <c r="E809" s="1"/>
      <c r="F809" s="1"/>
      <c r="G809" s="1"/>
      <c r="H809" s="1"/>
      <c r="I809" s="23"/>
      <c r="J809" s="1"/>
      <c r="K809" s="23"/>
      <c r="L809" s="23"/>
      <c r="M809" s="1"/>
      <c r="N809" s="23"/>
      <c r="O809" s="23"/>
      <c r="P809" s="1"/>
      <c r="Q809" s="1"/>
      <c r="R809" s="1"/>
      <c r="S809" s="23"/>
      <c r="T809" s="1"/>
      <c r="U809" s="23"/>
      <c r="V809" s="23"/>
      <c r="W809" s="1"/>
      <c r="X809" s="23"/>
      <c r="Y809" s="23"/>
      <c r="Z809" s="1"/>
      <c r="AA809" s="1"/>
      <c r="AB809" s="1"/>
      <c r="AC809" s="1"/>
      <c r="AD809" s="23"/>
      <c r="AE809" s="1"/>
      <c r="AF809" s="23"/>
      <c r="AG809" s="23"/>
      <c r="AH809" s="1"/>
      <c r="AI809" s="23"/>
      <c r="AJ809" s="23"/>
      <c r="AK809" s="1"/>
      <c r="AL809" s="1"/>
      <c r="AM809" s="1"/>
      <c r="AN809" s="1"/>
      <c r="AO809" s="23"/>
      <c r="AP809" s="1"/>
      <c r="AQ809" s="23"/>
      <c r="AR809" s="23"/>
      <c r="AS809" s="1"/>
      <c r="AX809" s="1"/>
      <c r="AY809" s="23"/>
      <c r="AZ809" s="1"/>
      <c r="BA809" s="23"/>
      <c r="BB809" s="23"/>
      <c r="BC809" s="1"/>
    </row>
    <row r="810" spans="1:55" x14ac:dyDescent="0.25">
      <c r="A810" s="1"/>
      <c r="B810" s="1"/>
      <c r="C810" s="1"/>
      <c r="D810" s="1"/>
      <c r="E810" s="1"/>
      <c r="F810" s="1"/>
      <c r="G810" s="1"/>
      <c r="H810" s="1"/>
      <c r="I810" s="23"/>
      <c r="J810" s="1"/>
      <c r="K810" s="23"/>
      <c r="L810" s="23"/>
      <c r="M810" s="1"/>
      <c r="N810" s="23"/>
      <c r="O810" s="23"/>
      <c r="P810" s="1"/>
      <c r="Q810" s="1"/>
      <c r="R810" s="1"/>
      <c r="S810" s="23"/>
      <c r="T810" s="1"/>
      <c r="U810" s="23"/>
      <c r="V810" s="23"/>
      <c r="W810" s="1"/>
      <c r="X810" s="23"/>
      <c r="Y810" s="23"/>
      <c r="Z810" s="1"/>
      <c r="AA810" s="1"/>
      <c r="AB810" s="1"/>
      <c r="AC810" s="1"/>
      <c r="AD810" s="23"/>
      <c r="AE810" s="1"/>
      <c r="AF810" s="23"/>
      <c r="AG810" s="23"/>
      <c r="AH810" s="1"/>
      <c r="AI810" s="23"/>
      <c r="AJ810" s="23"/>
      <c r="AK810" s="1"/>
      <c r="AL810" s="1"/>
      <c r="AM810" s="1"/>
      <c r="AN810" s="1"/>
      <c r="AO810" s="23"/>
      <c r="AP810" s="1"/>
      <c r="AQ810" s="23"/>
      <c r="AR810" s="23"/>
      <c r="AS810" s="1"/>
      <c r="AX810" s="1"/>
      <c r="AY810" s="23"/>
      <c r="AZ810" s="1"/>
      <c r="BA810" s="23"/>
      <c r="BB810" s="23"/>
      <c r="BC810" s="1"/>
    </row>
    <row r="811" spans="1:55" x14ac:dyDescent="0.25">
      <c r="A811" s="1"/>
      <c r="B811" s="1"/>
      <c r="C811" s="1"/>
      <c r="D811" s="1"/>
      <c r="E811" s="1"/>
      <c r="F811" s="1"/>
      <c r="G811" s="1"/>
      <c r="H811" s="1"/>
      <c r="I811" s="23"/>
      <c r="J811" s="1"/>
      <c r="K811" s="23"/>
      <c r="L811" s="23"/>
      <c r="M811" s="1"/>
      <c r="N811" s="23"/>
      <c r="O811" s="23"/>
      <c r="P811" s="1"/>
      <c r="Q811" s="1"/>
      <c r="R811" s="1"/>
      <c r="S811" s="23"/>
      <c r="T811" s="1"/>
      <c r="U811" s="23"/>
      <c r="V811" s="23"/>
      <c r="W811" s="1"/>
      <c r="X811" s="23"/>
      <c r="Y811" s="23"/>
      <c r="Z811" s="1"/>
      <c r="AA811" s="1"/>
      <c r="AB811" s="1"/>
      <c r="AC811" s="1"/>
      <c r="AD811" s="23"/>
      <c r="AE811" s="1"/>
      <c r="AF811" s="23"/>
      <c r="AG811" s="23"/>
      <c r="AH811" s="1"/>
      <c r="AI811" s="23"/>
      <c r="AJ811" s="23"/>
      <c r="AK811" s="1"/>
      <c r="AL811" s="1"/>
      <c r="AM811" s="1"/>
      <c r="AN811" s="1"/>
      <c r="AO811" s="23"/>
      <c r="AP811" s="1"/>
      <c r="AQ811" s="23"/>
      <c r="AR811" s="23"/>
      <c r="AS811" s="1"/>
      <c r="AX811" s="1"/>
      <c r="AY811" s="23"/>
      <c r="AZ811" s="1"/>
      <c r="BA811" s="23"/>
      <c r="BB811" s="23"/>
      <c r="BC811" s="1"/>
    </row>
    <row r="812" spans="1:55" x14ac:dyDescent="0.25">
      <c r="A812" s="1"/>
      <c r="B812" s="1"/>
      <c r="C812" s="1"/>
      <c r="D812" s="1"/>
      <c r="E812" s="1"/>
      <c r="F812" s="1"/>
      <c r="G812" s="1"/>
      <c r="H812" s="1"/>
      <c r="I812" s="23"/>
      <c r="J812" s="1"/>
      <c r="K812" s="23"/>
      <c r="L812" s="23"/>
      <c r="M812" s="1"/>
      <c r="N812" s="23"/>
      <c r="O812" s="23"/>
      <c r="P812" s="1"/>
      <c r="Q812" s="1"/>
      <c r="R812" s="1"/>
      <c r="S812" s="23"/>
      <c r="T812" s="1"/>
      <c r="U812" s="23"/>
      <c r="V812" s="23"/>
      <c r="W812" s="1"/>
      <c r="X812" s="23"/>
      <c r="Y812" s="23"/>
      <c r="Z812" s="1"/>
      <c r="AA812" s="1"/>
      <c r="AB812" s="1"/>
      <c r="AC812" s="1"/>
      <c r="AD812" s="23"/>
      <c r="AE812" s="1"/>
      <c r="AF812" s="23"/>
      <c r="AG812" s="23"/>
      <c r="AH812" s="1"/>
      <c r="AI812" s="23"/>
      <c r="AJ812" s="23"/>
      <c r="AK812" s="1"/>
      <c r="AL812" s="1"/>
      <c r="AM812" s="1"/>
      <c r="AN812" s="1"/>
      <c r="AO812" s="23"/>
      <c r="AP812" s="1"/>
      <c r="AQ812" s="23"/>
      <c r="AR812" s="23"/>
      <c r="AS812" s="1"/>
      <c r="AX812" s="1"/>
      <c r="AY812" s="23"/>
      <c r="AZ812" s="1"/>
      <c r="BA812" s="23"/>
      <c r="BB812" s="23"/>
      <c r="BC812" s="1"/>
    </row>
    <row r="813" spans="1:55" x14ac:dyDescent="0.25">
      <c r="A813" s="1"/>
      <c r="B813" s="1"/>
      <c r="C813" s="1"/>
      <c r="D813" s="1"/>
      <c r="E813" s="1"/>
      <c r="F813" s="1"/>
      <c r="G813" s="1"/>
      <c r="H813" s="1"/>
      <c r="I813" s="23"/>
      <c r="J813" s="1"/>
      <c r="K813" s="23"/>
      <c r="L813" s="23"/>
      <c r="M813" s="1"/>
      <c r="N813" s="23"/>
      <c r="O813" s="23"/>
      <c r="P813" s="1"/>
      <c r="Q813" s="1"/>
      <c r="R813" s="1"/>
      <c r="S813" s="23"/>
      <c r="T813" s="1"/>
      <c r="U813" s="23"/>
      <c r="V813" s="23"/>
      <c r="W813" s="1"/>
      <c r="X813" s="23"/>
      <c r="Y813" s="23"/>
      <c r="Z813" s="1"/>
      <c r="AA813" s="1"/>
      <c r="AB813" s="1"/>
      <c r="AC813" s="1"/>
      <c r="AD813" s="23"/>
      <c r="AE813" s="1"/>
      <c r="AF813" s="23"/>
      <c r="AG813" s="23"/>
      <c r="AH813" s="1"/>
      <c r="AI813" s="23"/>
      <c r="AJ813" s="23"/>
      <c r="AK813" s="1"/>
      <c r="AL813" s="1"/>
      <c r="AM813" s="1"/>
      <c r="AN813" s="1"/>
      <c r="AO813" s="23"/>
      <c r="AP813" s="1"/>
      <c r="AQ813" s="23"/>
      <c r="AR813" s="23"/>
      <c r="AS813" s="1"/>
      <c r="AX813" s="1"/>
      <c r="AY813" s="23"/>
      <c r="AZ813" s="1"/>
      <c r="BA813" s="23"/>
      <c r="BB813" s="23"/>
      <c r="BC813" s="1"/>
    </row>
    <row r="814" spans="1:55" x14ac:dyDescent="0.25">
      <c r="A814" s="1"/>
      <c r="B814" s="1"/>
      <c r="C814" s="1"/>
      <c r="D814" s="1"/>
      <c r="E814" s="1"/>
      <c r="F814" s="1"/>
      <c r="G814" s="1"/>
      <c r="H814" s="1"/>
      <c r="I814" s="23"/>
      <c r="J814" s="1"/>
      <c r="K814" s="23"/>
      <c r="L814" s="23"/>
      <c r="M814" s="1"/>
      <c r="N814" s="23"/>
      <c r="O814" s="23"/>
      <c r="P814" s="1"/>
      <c r="Q814" s="1"/>
      <c r="R814" s="1"/>
      <c r="S814" s="23"/>
      <c r="T814" s="1"/>
      <c r="U814" s="23"/>
      <c r="V814" s="23"/>
      <c r="W814" s="1"/>
      <c r="X814" s="23"/>
      <c r="Y814" s="23"/>
      <c r="Z814" s="1"/>
      <c r="AA814" s="1"/>
      <c r="AB814" s="1"/>
      <c r="AC814" s="1"/>
      <c r="AD814" s="23"/>
      <c r="AE814" s="1"/>
      <c r="AF814" s="23"/>
      <c r="AG814" s="23"/>
      <c r="AH814" s="1"/>
      <c r="AI814" s="23"/>
      <c r="AJ814" s="23"/>
      <c r="AK814" s="1"/>
      <c r="AL814" s="1"/>
      <c r="AM814" s="1"/>
      <c r="AN814" s="1"/>
      <c r="AO814" s="23"/>
      <c r="AP814" s="1"/>
      <c r="AQ814" s="23"/>
      <c r="AR814" s="23"/>
      <c r="AS814" s="1"/>
      <c r="AX814" s="1"/>
      <c r="AY814" s="23"/>
      <c r="AZ814" s="1"/>
      <c r="BA814" s="23"/>
      <c r="BB814" s="23"/>
      <c r="BC814" s="1"/>
    </row>
    <row r="815" spans="1:55" x14ac:dyDescent="0.25">
      <c r="A815" s="1"/>
      <c r="B815" s="1"/>
      <c r="C815" s="1"/>
      <c r="D815" s="1"/>
      <c r="E815" s="1"/>
      <c r="F815" s="1"/>
      <c r="G815" s="1"/>
      <c r="H815" s="1"/>
      <c r="I815" s="23"/>
      <c r="J815" s="1"/>
      <c r="K815" s="23"/>
      <c r="L815" s="23"/>
      <c r="M815" s="1"/>
      <c r="N815" s="23"/>
      <c r="O815" s="23"/>
      <c r="P815" s="1"/>
      <c r="Q815" s="1"/>
      <c r="R815" s="1"/>
      <c r="S815" s="23"/>
      <c r="T815" s="1"/>
      <c r="U815" s="23"/>
      <c r="V815" s="23"/>
      <c r="W815" s="1"/>
      <c r="X815" s="23"/>
      <c r="Y815" s="23"/>
      <c r="Z815" s="1"/>
      <c r="AA815" s="1"/>
      <c r="AB815" s="1"/>
      <c r="AC815" s="1"/>
      <c r="AD815" s="23"/>
      <c r="AE815" s="1"/>
      <c r="AF815" s="23"/>
      <c r="AG815" s="23"/>
      <c r="AH815" s="1"/>
      <c r="AI815" s="23"/>
      <c r="AJ815" s="23"/>
      <c r="AK815" s="1"/>
      <c r="AL815" s="1"/>
      <c r="AM815" s="1"/>
      <c r="AN815" s="1"/>
      <c r="AO815" s="23"/>
      <c r="AP815" s="1"/>
      <c r="AQ815" s="23"/>
      <c r="AR815" s="23"/>
      <c r="AS815" s="1"/>
      <c r="AX815" s="1"/>
      <c r="AY815" s="23"/>
      <c r="AZ815" s="1"/>
      <c r="BA815" s="23"/>
      <c r="BB815" s="23"/>
      <c r="BC815" s="1"/>
    </row>
    <row r="816" spans="1:55" x14ac:dyDescent="0.25">
      <c r="A816" s="1"/>
      <c r="B816" s="1"/>
      <c r="C816" s="1"/>
      <c r="D816" s="1"/>
      <c r="E816" s="1"/>
      <c r="F816" s="1"/>
      <c r="G816" s="1"/>
      <c r="H816" s="1"/>
      <c r="I816" s="23"/>
      <c r="J816" s="1"/>
      <c r="K816" s="23"/>
      <c r="L816" s="23"/>
      <c r="M816" s="1"/>
      <c r="N816" s="23"/>
      <c r="O816" s="23"/>
      <c r="P816" s="1"/>
      <c r="Q816" s="1"/>
      <c r="R816" s="1"/>
      <c r="S816" s="23"/>
      <c r="T816" s="1"/>
      <c r="U816" s="23"/>
      <c r="V816" s="23"/>
      <c r="W816" s="1"/>
      <c r="X816" s="23"/>
      <c r="Y816" s="23"/>
      <c r="Z816" s="1"/>
      <c r="AA816" s="1"/>
      <c r="AB816" s="1"/>
      <c r="AC816" s="1"/>
      <c r="AD816" s="23"/>
      <c r="AE816" s="1"/>
      <c r="AF816" s="23"/>
      <c r="AG816" s="23"/>
      <c r="AH816" s="1"/>
      <c r="AI816" s="23"/>
      <c r="AJ816" s="23"/>
      <c r="AK816" s="1"/>
      <c r="AL816" s="1"/>
      <c r="AM816" s="1"/>
      <c r="AN816" s="1"/>
      <c r="AO816" s="23"/>
      <c r="AP816" s="1"/>
      <c r="AQ816" s="23"/>
      <c r="AR816" s="23"/>
      <c r="AS816" s="1"/>
      <c r="AX816" s="1"/>
      <c r="AY816" s="23"/>
      <c r="AZ816" s="1"/>
      <c r="BA816" s="23"/>
      <c r="BB816" s="23"/>
      <c r="BC816" s="1"/>
    </row>
    <row r="817" spans="1:55" x14ac:dyDescent="0.25">
      <c r="A817" s="1"/>
      <c r="B817" s="1"/>
      <c r="C817" s="1"/>
      <c r="D817" s="1"/>
      <c r="E817" s="1"/>
      <c r="F817" s="1"/>
      <c r="G817" s="1"/>
      <c r="H817" s="1"/>
      <c r="I817" s="23"/>
      <c r="J817" s="1"/>
      <c r="K817" s="23"/>
      <c r="L817" s="23"/>
      <c r="M817" s="1"/>
      <c r="N817" s="23"/>
      <c r="O817" s="23"/>
      <c r="P817" s="1"/>
      <c r="Q817" s="1"/>
      <c r="R817" s="1"/>
      <c r="S817" s="23"/>
      <c r="T817" s="1"/>
      <c r="U817" s="23"/>
      <c r="V817" s="23"/>
      <c r="W817" s="1"/>
      <c r="X817" s="23"/>
      <c r="Y817" s="23"/>
      <c r="Z817" s="1"/>
      <c r="AA817" s="1"/>
      <c r="AB817" s="1"/>
      <c r="AC817" s="1"/>
      <c r="AD817" s="23"/>
      <c r="AE817" s="1"/>
      <c r="AF817" s="23"/>
      <c r="AG817" s="23"/>
      <c r="AH817" s="1"/>
      <c r="AI817" s="23"/>
      <c r="AJ817" s="23"/>
      <c r="AK817" s="1"/>
      <c r="AL817" s="1"/>
      <c r="AM817" s="1"/>
      <c r="AN817" s="1"/>
      <c r="AO817" s="23"/>
      <c r="AP817" s="1"/>
      <c r="AQ817" s="23"/>
      <c r="AR817" s="23"/>
      <c r="AS817" s="1"/>
      <c r="AX817" s="1"/>
      <c r="AY817" s="23"/>
      <c r="AZ817" s="1"/>
      <c r="BA817" s="23"/>
      <c r="BB817" s="23"/>
      <c r="BC817" s="1"/>
    </row>
    <row r="818" spans="1:55" x14ac:dyDescent="0.25">
      <c r="A818" s="1"/>
      <c r="B818" s="1"/>
      <c r="C818" s="1"/>
      <c r="D818" s="1"/>
      <c r="E818" s="1"/>
      <c r="F818" s="1"/>
      <c r="G818" s="1"/>
      <c r="H818" s="1"/>
      <c r="I818" s="23"/>
      <c r="J818" s="1"/>
      <c r="K818" s="23"/>
      <c r="L818" s="23"/>
      <c r="M818" s="1"/>
      <c r="N818" s="23"/>
      <c r="O818" s="23"/>
      <c r="P818" s="1"/>
      <c r="Q818" s="1"/>
      <c r="R818" s="1"/>
      <c r="S818" s="23"/>
      <c r="T818" s="1"/>
      <c r="U818" s="23"/>
      <c r="V818" s="23"/>
      <c r="W818" s="1"/>
      <c r="X818" s="23"/>
      <c r="Y818" s="23"/>
      <c r="Z818" s="1"/>
      <c r="AA818" s="1"/>
      <c r="AB818" s="1"/>
      <c r="AC818" s="1"/>
      <c r="AD818" s="23"/>
      <c r="AE818" s="1"/>
      <c r="AF818" s="23"/>
      <c r="AG818" s="23"/>
      <c r="AH818" s="1"/>
      <c r="AI818" s="23"/>
      <c r="AJ818" s="23"/>
      <c r="AK818" s="1"/>
      <c r="AL818" s="1"/>
      <c r="AM818" s="1"/>
      <c r="AN818" s="1"/>
      <c r="AO818" s="23"/>
      <c r="AP818" s="1"/>
      <c r="AQ818" s="23"/>
      <c r="AR818" s="23"/>
      <c r="AS818" s="1"/>
      <c r="AX818" s="1"/>
      <c r="AY818" s="23"/>
      <c r="AZ818" s="1"/>
      <c r="BA818" s="23"/>
      <c r="BB818" s="23"/>
      <c r="BC818" s="1"/>
    </row>
    <row r="819" spans="1:55" x14ac:dyDescent="0.25">
      <c r="A819" s="1"/>
      <c r="B819" s="1"/>
      <c r="C819" s="1"/>
      <c r="D819" s="1"/>
      <c r="E819" s="1"/>
      <c r="F819" s="1"/>
      <c r="G819" s="1"/>
      <c r="H819" s="1"/>
      <c r="I819" s="23"/>
      <c r="J819" s="1"/>
      <c r="K819" s="23"/>
      <c r="L819" s="23"/>
      <c r="M819" s="1"/>
      <c r="N819" s="23"/>
      <c r="O819" s="23"/>
      <c r="P819" s="1"/>
      <c r="Q819" s="1"/>
      <c r="R819" s="1"/>
      <c r="S819" s="23"/>
      <c r="T819" s="1"/>
      <c r="U819" s="23"/>
      <c r="V819" s="23"/>
      <c r="W819" s="1"/>
      <c r="X819" s="23"/>
      <c r="Y819" s="23"/>
      <c r="Z819" s="1"/>
      <c r="AA819" s="1"/>
      <c r="AB819" s="1"/>
      <c r="AC819" s="1"/>
      <c r="AD819" s="23"/>
      <c r="AE819" s="1"/>
      <c r="AF819" s="23"/>
      <c r="AG819" s="23"/>
      <c r="AH819" s="1"/>
      <c r="AI819" s="23"/>
      <c r="AJ819" s="23"/>
      <c r="AK819" s="1"/>
      <c r="AL819" s="1"/>
      <c r="AM819" s="1"/>
      <c r="AN819" s="1"/>
      <c r="AO819" s="23"/>
      <c r="AP819" s="1"/>
      <c r="AQ819" s="23"/>
      <c r="AR819" s="23"/>
      <c r="AS819" s="1"/>
      <c r="AX819" s="1"/>
      <c r="AY819" s="23"/>
      <c r="AZ819" s="1"/>
      <c r="BA819" s="23"/>
      <c r="BB819" s="23"/>
      <c r="BC819" s="1"/>
    </row>
    <row r="820" spans="1:55" x14ac:dyDescent="0.25">
      <c r="A820" s="1"/>
      <c r="B820" s="1"/>
      <c r="C820" s="1"/>
      <c r="D820" s="1"/>
      <c r="E820" s="1"/>
      <c r="F820" s="1"/>
      <c r="G820" s="1"/>
      <c r="H820" s="1"/>
      <c r="I820" s="23"/>
      <c r="J820" s="1"/>
      <c r="K820" s="23"/>
      <c r="L820" s="23"/>
      <c r="M820" s="1"/>
      <c r="N820" s="23"/>
      <c r="O820" s="23"/>
      <c r="P820" s="1"/>
      <c r="Q820" s="1"/>
      <c r="R820" s="1"/>
      <c r="S820" s="23"/>
      <c r="T820" s="1"/>
      <c r="U820" s="23"/>
      <c r="V820" s="23"/>
      <c r="W820" s="1"/>
      <c r="X820" s="23"/>
      <c r="Y820" s="23"/>
      <c r="Z820" s="1"/>
      <c r="AA820" s="1"/>
      <c r="AB820" s="1"/>
      <c r="AC820" s="1"/>
      <c r="AD820" s="23"/>
      <c r="AE820" s="1"/>
      <c r="AF820" s="23"/>
      <c r="AG820" s="23"/>
      <c r="AH820" s="1"/>
      <c r="AI820" s="23"/>
      <c r="AJ820" s="23"/>
      <c r="AK820" s="1"/>
      <c r="AL820" s="1"/>
      <c r="AM820" s="1"/>
      <c r="AN820" s="1"/>
      <c r="AO820" s="23"/>
      <c r="AP820" s="1"/>
      <c r="AQ820" s="23"/>
      <c r="AR820" s="23"/>
      <c r="AS820" s="1"/>
      <c r="AX820" s="1"/>
      <c r="AY820" s="23"/>
      <c r="AZ820" s="1"/>
      <c r="BA820" s="23"/>
      <c r="BB820" s="23"/>
      <c r="BC820" s="1"/>
    </row>
    <row r="821" spans="1:55" x14ac:dyDescent="0.25">
      <c r="A821" s="1"/>
      <c r="B821" s="1"/>
      <c r="C821" s="1"/>
      <c r="D821" s="1"/>
      <c r="E821" s="1"/>
      <c r="F821" s="1"/>
      <c r="G821" s="1"/>
      <c r="H821" s="1"/>
      <c r="I821" s="23"/>
      <c r="J821" s="1"/>
      <c r="K821" s="23"/>
      <c r="L821" s="23"/>
      <c r="M821" s="1"/>
      <c r="N821" s="23"/>
      <c r="O821" s="23"/>
      <c r="P821" s="1"/>
      <c r="Q821" s="1"/>
      <c r="R821" s="1"/>
      <c r="S821" s="23"/>
      <c r="T821" s="1"/>
      <c r="U821" s="23"/>
      <c r="V821" s="23"/>
      <c r="W821" s="1"/>
      <c r="X821" s="23"/>
      <c r="Y821" s="23"/>
      <c r="Z821" s="1"/>
      <c r="AA821" s="1"/>
      <c r="AB821" s="1"/>
      <c r="AC821" s="1"/>
      <c r="AD821" s="23"/>
      <c r="AE821" s="1"/>
      <c r="AF821" s="23"/>
      <c r="AG821" s="23"/>
      <c r="AH821" s="1"/>
      <c r="AI821" s="23"/>
      <c r="AJ821" s="23"/>
      <c r="AK821" s="1"/>
      <c r="AL821" s="1"/>
      <c r="AM821" s="1"/>
      <c r="AN821" s="1"/>
      <c r="AO821" s="23"/>
      <c r="AP821" s="1"/>
      <c r="AQ821" s="23"/>
      <c r="AR821" s="23"/>
      <c r="AS821" s="1"/>
      <c r="AX821" s="1"/>
      <c r="AY821" s="23"/>
      <c r="AZ821" s="1"/>
      <c r="BA821" s="23"/>
      <c r="BB821" s="23"/>
      <c r="BC821" s="1"/>
    </row>
    <row r="822" spans="1:55" x14ac:dyDescent="0.25">
      <c r="A822" s="1"/>
      <c r="B822" s="1"/>
      <c r="C822" s="1"/>
      <c r="D822" s="1"/>
      <c r="E822" s="1"/>
      <c r="F822" s="1"/>
      <c r="G822" s="1"/>
      <c r="H822" s="1"/>
      <c r="I822" s="23"/>
      <c r="J822" s="1"/>
      <c r="K822" s="23"/>
      <c r="L822" s="23"/>
      <c r="M822" s="1"/>
      <c r="N822" s="23"/>
      <c r="O822" s="23"/>
      <c r="P822" s="1"/>
      <c r="Q822" s="1"/>
      <c r="R822" s="1"/>
      <c r="S822" s="23"/>
      <c r="T822" s="1"/>
      <c r="U822" s="23"/>
      <c r="V822" s="23"/>
      <c r="W822" s="1"/>
      <c r="X822" s="23"/>
      <c r="Y822" s="23"/>
      <c r="Z822" s="1"/>
      <c r="AA822" s="1"/>
      <c r="AB822" s="1"/>
      <c r="AC822" s="1"/>
      <c r="AD822" s="23"/>
      <c r="AE822" s="1"/>
      <c r="AF822" s="23"/>
      <c r="AG822" s="23"/>
      <c r="AH822" s="1"/>
      <c r="AI822" s="23"/>
      <c r="AJ822" s="23"/>
      <c r="AK822" s="1"/>
      <c r="AL822" s="1"/>
      <c r="AM822" s="1"/>
      <c r="AN822" s="1"/>
      <c r="AO822" s="23"/>
      <c r="AP822" s="1"/>
      <c r="AQ822" s="23"/>
      <c r="AR822" s="23"/>
      <c r="AS822" s="1"/>
      <c r="AX822" s="1"/>
      <c r="AY822" s="23"/>
      <c r="AZ822" s="1"/>
      <c r="BA822" s="23"/>
      <c r="BB822" s="23"/>
      <c r="BC822" s="1"/>
    </row>
    <row r="823" spans="1:55" x14ac:dyDescent="0.25">
      <c r="A823" s="1"/>
      <c r="B823" s="1"/>
      <c r="C823" s="1"/>
      <c r="D823" s="1"/>
      <c r="E823" s="1"/>
      <c r="F823" s="1"/>
      <c r="G823" s="1"/>
      <c r="H823" s="1"/>
      <c r="I823" s="23"/>
      <c r="J823" s="1"/>
      <c r="K823" s="23"/>
      <c r="L823" s="23"/>
      <c r="M823" s="1"/>
      <c r="N823" s="23"/>
      <c r="O823" s="23"/>
      <c r="P823" s="1"/>
      <c r="Q823" s="1"/>
      <c r="R823" s="1"/>
      <c r="S823" s="23"/>
      <c r="T823" s="1"/>
      <c r="U823" s="23"/>
      <c r="V823" s="23"/>
      <c r="W823" s="1"/>
      <c r="X823" s="23"/>
      <c r="Y823" s="23"/>
      <c r="Z823" s="1"/>
      <c r="AA823" s="1"/>
      <c r="AB823" s="1"/>
      <c r="AC823" s="1"/>
      <c r="AD823" s="23"/>
      <c r="AE823" s="1"/>
      <c r="AF823" s="23"/>
      <c r="AG823" s="23"/>
      <c r="AH823" s="1"/>
      <c r="AI823" s="23"/>
      <c r="AJ823" s="23"/>
      <c r="AK823" s="1"/>
      <c r="AL823" s="1"/>
      <c r="AM823" s="1"/>
      <c r="AN823" s="1"/>
      <c r="AO823" s="23"/>
      <c r="AP823" s="1"/>
      <c r="AQ823" s="23"/>
      <c r="AR823" s="23"/>
      <c r="AS823" s="1"/>
      <c r="AX823" s="1"/>
      <c r="AY823" s="23"/>
      <c r="AZ823" s="1"/>
      <c r="BA823" s="23"/>
      <c r="BB823" s="23"/>
      <c r="BC823" s="1"/>
    </row>
    <row r="824" spans="1:55" x14ac:dyDescent="0.25">
      <c r="A824" s="1"/>
      <c r="B824" s="1"/>
      <c r="C824" s="1"/>
      <c r="D824" s="1"/>
      <c r="E824" s="1"/>
      <c r="F824" s="1"/>
      <c r="G824" s="1"/>
      <c r="H824" s="1"/>
      <c r="I824" s="23"/>
      <c r="J824" s="1"/>
      <c r="K824" s="23"/>
      <c r="L824" s="23"/>
      <c r="M824" s="1"/>
      <c r="N824" s="23"/>
      <c r="O824" s="23"/>
      <c r="P824" s="1"/>
      <c r="Q824" s="1"/>
      <c r="R824" s="1"/>
      <c r="S824" s="23"/>
      <c r="T824" s="1"/>
      <c r="U824" s="23"/>
      <c r="V824" s="23"/>
      <c r="W824" s="1"/>
      <c r="X824" s="23"/>
      <c r="Y824" s="23"/>
      <c r="Z824" s="1"/>
      <c r="AA824" s="1"/>
      <c r="AB824" s="1"/>
      <c r="AC824" s="1"/>
      <c r="AD824" s="23"/>
      <c r="AE824" s="1"/>
      <c r="AF824" s="23"/>
      <c r="AG824" s="23"/>
      <c r="AH824" s="1"/>
      <c r="AI824" s="23"/>
      <c r="AJ824" s="23"/>
      <c r="AK824" s="1"/>
      <c r="AL824" s="1"/>
      <c r="AM824" s="1"/>
      <c r="AN824" s="1"/>
      <c r="AO824" s="23"/>
      <c r="AP824" s="1"/>
      <c r="AQ824" s="23"/>
      <c r="AR824" s="23"/>
      <c r="AS824" s="1"/>
      <c r="AX824" s="1"/>
      <c r="AY824" s="23"/>
      <c r="AZ824" s="1"/>
      <c r="BA824" s="23"/>
      <c r="BB824" s="23"/>
      <c r="BC824" s="1"/>
    </row>
    <row r="825" spans="1:55" x14ac:dyDescent="0.25">
      <c r="A825" s="1"/>
      <c r="B825" s="1"/>
      <c r="C825" s="1"/>
      <c r="D825" s="1"/>
      <c r="E825" s="1"/>
      <c r="F825" s="1"/>
      <c r="G825" s="1"/>
      <c r="H825" s="1"/>
      <c r="I825" s="23"/>
      <c r="J825" s="1"/>
      <c r="K825" s="23"/>
      <c r="L825" s="23"/>
      <c r="M825" s="1"/>
      <c r="N825" s="23"/>
      <c r="O825" s="23"/>
      <c r="P825" s="1"/>
      <c r="Q825" s="1"/>
      <c r="R825" s="1"/>
      <c r="S825" s="23"/>
      <c r="T825" s="1"/>
      <c r="U825" s="23"/>
      <c r="V825" s="23"/>
      <c r="W825" s="1"/>
      <c r="X825" s="23"/>
      <c r="Y825" s="23"/>
      <c r="Z825" s="1"/>
      <c r="AA825" s="1"/>
      <c r="AB825" s="1"/>
      <c r="AC825" s="1"/>
      <c r="AD825" s="23"/>
      <c r="AE825" s="1"/>
      <c r="AF825" s="23"/>
      <c r="AG825" s="23"/>
      <c r="AH825" s="1"/>
      <c r="AI825" s="23"/>
      <c r="AJ825" s="23"/>
      <c r="AK825" s="1"/>
      <c r="AL825" s="1"/>
      <c r="AM825" s="1"/>
      <c r="AN825" s="1"/>
      <c r="AO825" s="23"/>
      <c r="AP825" s="1"/>
      <c r="AQ825" s="23"/>
      <c r="AR825" s="23"/>
      <c r="AS825" s="1"/>
      <c r="AX825" s="1"/>
      <c r="AY825" s="23"/>
      <c r="AZ825" s="1"/>
      <c r="BA825" s="23"/>
      <c r="BB825" s="23"/>
      <c r="BC825" s="1"/>
    </row>
    <row r="826" spans="1:55" x14ac:dyDescent="0.25">
      <c r="A826" s="1"/>
      <c r="B826" s="1"/>
      <c r="C826" s="1"/>
      <c r="D826" s="1"/>
      <c r="E826" s="1"/>
      <c r="F826" s="1"/>
      <c r="G826" s="1"/>
      <c r="H826" s="1"/>
      <c r="I826" s="23"/>
      <c r="J826" s="1"/>
      <c r="K826" s="23"/>
      <c r="L826" s="23"/>
      <c r="M826" s="1"/>
      <c r="N826" s="23"/>
      <c r="O826" s="23"/>
      <c r="P826" s="1"/>
      <c r="Q826" s="1"/>
      <c r="R826" s="1"/>
      <c r="S826" s="23"/>
      <c r="T826" s="1"/>
      <c r="U826" s="23"/>
      <c r="V826" s="23"/>
      <c r="W826" s="1"/>
      <c r="X826" s="23"/>
      <c r="Y826" s="23"/>
      <c r="Z826" s="1"/>
      <c r="AA826" s="1"/>
      <c r="AB826" s="1"/>
      <c r="AC826" s="1"/>
      <c r="AD826" s="23"/>
      <c r="AE826" s="1"/>
      <c r="AF826" s="23"/>
      <c r="AG826" s="23"/>
      <c r="AH826" s="1"/>
      <c r="AI826" s="23"/>
      <c r="AJ826" s="23"/>
      <c r="AK826" s="1"/>
      <c r="AL826" s="1"/>
      <c r="AM826" s="1"/>
      <c r="AN826" s="1"/>
      <c r="AO826" s="23"/>
      <c r="AP826" s="1"/>
      <c r="AQ826" s="23"/>
      <c r="AR826" s="23"/>
      <c r="AS826" s="1"/>
      <c r="AX826" s="1"/>
      <c r="AY826" s="23"/>
      <c r="AZ826" s="1"/>
      <c r="BA826" s="23"/>
      <c r="BB826" s="23"/>
      <c r="BC826" s="1"/>
    </row>
    <row r="827" spans="1:55" x14ac:dyDescent="0.25">
      <c r="A827" s="1"/>
      <c r="B827" s="1"/>
      <c r="C827" s="1"/>
      <c r="D827" s="1"/>
      <c r="E827" s="1"/>
      <c r="F827" s="1"/>
      <c r="G827" s="1"/>
      <c r="H827" s="1"/>
      <c r="I827" s="23"/>
      <c r="J827" s="1"/>
      <c r="K827" s="23"/>
      <c r="L827" s="23"/>
      <c r="M827" s="1"/>
      <c r="N827" s="23"/>
      <c r="O827" s="23"/>
      <c r="P827" s="1"/>
      <c r="Q827" s="1"/>
      <c r="R827" s="1"/>
      <c r="S827" s="23"/>
      <c r="T827" s="1"/>
      <c r="U827" s="23"/>
      <c r="V827" s="23"/>
      <c r="W827" s="1"/>
      <c r="X827" s="23"/>
      <c r="Y827" s="23"/>
      <c r="Z827" s="1"/>
      <c r="AA827" s="1"/>
      <c r="AB827" s="1"/>
      <c r="AC827" s="1"/>
      <c r="AD827" s="23"/>
      <c r="AE827" s="1"/>
      <c r="AF827" s="23"/>
      <c r="AG827" s="23"/>
      <c r="AH827" s="1"/>
      <c r="AI827" s="23"/>
      <c r="AJ827" s="23"/>
      <c r="AK827" s="1"/>
      <c r="AL827" s="1"/>
      <c r="AM827" s="1"/>
      <c r="AN827" s="1"/>
      <c r="AO827" s="23"/>
      <c r="AP827" s="1"/>
      <c r="AQ827" s="23"/>
      <c r="AR827" s="23"/>
      <c r="AS827" s="1"/>
      <c r="AX827" s="1"/>
      <c r="AY827" s="23"/>
      <c r="AZ827" s="1"/>
      <c r="BA827" s="23"/>
      <c r="BB827" s="23"/>
      <c r="BC827" s="1"/>
    </row>
    <row r="828" spans="1:55" x14ac:dyDescent="0.25">
      <c r="A828" s="1"/>
      <c r="B828" s="1"/>
      <c r="C828" s="1"/>
      <c r="D828" s="1"/>
      <c r="E828" s="1"/>
      <c r="F828" s="1"/>
      <c r="G828" s="1"/>
      <c r="H828" s="1"/>
      <c r="I828" s="23"/>
      <c r="J828" s="1"/>
      <c r="K828" s="23"/>
      <c r="L828" s="23"/>
      <c r="M828" s="1"/>
      <c r="N828" s="23"/>
      <c r="O828" s="23"/>
      <c r="P828" s="1"/>
      <c r="Q828" s="1"/>
      <c r="R828" s="1"/>
      <c r="S828" s="23"/>
      <c r="T828" s="1"/>
      <c r="U828" s="23"/>
      <c r="V828" s="23"/>
      <c r="W828" s="1"/>
      <c r="X828" s="23"/>
      <c r="Y828" s="23"/>
      <c r="Z828" s="1"/>
      <c r="AA828" s="1"/>
      <c r="AB828" s="1"/>
      <c r="AC828" s="1"/>
      <c r="AD828" s="23"/>
      <c r="AE828" s="1"/>
      <c r="AF828" s="23"/>
      <c r="AG828" s="23"/>
      <c r="AH828" s="1"/>
      <c r="AI828" s="23"/>
      <c r="AJ828" s="23"/>
      <c r="AK828" s="1"/>
      <c r="AL828" s="1"/>
      <c r="AM828" s="1"/>
      <c r="AN828" s="1"/>
      <c r="AO828" s="23"/>
      <c r="AP828" s="1"/>
      <c r="AQ828" s="23"/>
      <c r="AR828" s="23"/>
      <c r="AS828" s="1"/>
      <c r="AX828" s="1"/>
      <c r="AY828" s="23"/>
      <c r="AZ828" s="1"/>
      <c r="BA828" s="23"/>
      <c r="BB828" s="23"/>
      <c r="BC828" s="1"/>
    </row>
    <row r="829" spans="1:55" x14ac:dyDescent="0.25">
      <c r="A829" s="1"/>
      <c r="B829" s="1"/>
      <c r="C829" s="1"/>
      <c r="D829" s="1"/>
      <c r="E829" s="1"/>
      <c r="F829" s="1"/>
      <c r="G829" s="1"/>
      <c r="H829" s="1"/>
      <c r="I829" s="23"/>
      <c r="J829" s="1"/>
      <c r="K829" s="23"/>
      <c r="L829" s="23"/>
      <c r="M829" s="1"/>
      <c r="N829" s="23"/>
      <c r="O829" s="23"/>
      <c r="P829" s="1"/>
      <c r="Q829" s="1"/>
      <c r="R829" s="1"/>
      <c r="S829" s="23"/>
      <c r="T829" s="1"/>
      <c r="U829" s="23"/>
      <c r="V829" s="23"/>
      <c r="W829" s="1"/>
      <c r="X829" s="23"/>
      <c r="Y829" s="23"/>
      <c r="Z829" s="1"/>
      <c r="AA829" s="1"/>
      <c r="AB829" s="1"/>
      <c r="AC829" s="1"/>
      <c r="AD829" s="23"/>
      <c r="AE829" s="1"/>
      <c r="AF829" s="23"/>
      <c r="AG829" s="23"/>
      <c r="AH829" s="1"/>
      <c r="AI829" s="23"/>
      <c r="AJ829" s="23"/>
      <c r="AK829" s="1"/>
      <c r="AL829" s="1"/>
      <c r="AM829" s="1"/>
      <c r="AN829" s="1"/>
      <c r="AO829" s="23"/>
      <c r="AP829" s="1"/>
      <c r="AQ829" s="23"/>
      <c r="AR829" s="23"/>
      <c r="AS829" s="1"/>
      <c r="AX829" s="1"/>
      <c r="AY829" s="23"/>
      <c r="AZ829" s="1"/>
      <c r="BA829" s="23"/>
      <c r="BB829" s="23"/>
      <c r="BC829" s="1"/>
    </row>
    <row r="830" spans="1:55" x14ac:dyDescent="0.25">
      <c r="A830" s="1"/>
      <c r="B830" s="1"/>
      <c r="C830" s="1"/>
      <c r="D830" s="1"/>
      <c r="E830" s="1"/>
      <c r="F830" s="1"/>
      <c r="G830" s="1"/>
      <c r="H830" s="1"/>
      <c r="I830" s="23"/>
      <c r="J830" s="1"/>
      <c r="K830" s="23"/>
      <c r="L830" s="23"/>
      <c r="M830" s="1"/>
      <c r="N830" s="23"/>
      <c r="O830" s="23"/>
      <c r="P830" s="1"/>
      <c r="Q830" s="1"/>
      <c r="R830" s="1"/>
      <c r="S830" s="23"/>
      <c r="T830" s="1"/>
      <c r="U830" s="23"/>
      <c r="V830" s="23"/>
      <c r="W830" s="1"/>
      <c r="X830" s="23"/>
      <c r="Y830" s="23"/>
      <c r="Z830" s="1"/>
      <c r="AA830" s="1"/>
      <c r="AB830" s="1"/>
      <c r="AC830" s="1"/>
      <c r="AD830" s="23"/>
      <c r="AE830" s="1"/>
      <c r="AF830" s="23"/>
      <c r="AG830" s="23"/>
      <c r="AH830" s="1"/>
      <c r="AI830" s="23"/>
      <c r="AJ830" s="23"/>
      <c r="AK830" s="1"/>
      <c r="AL830" s="1"/>
      <c r="AM830" s="1"/>
      <c r="AN830" s="1"/>
      <c r="AO830" s="23"/>
      <c r="AP830" s="1"/>
      <c r="AQ830" s="23"/>
      <c r="AR830" s="23"/>
      <c r="AS830" s="1"/>
      <c r="AX830" s="1"/>
      <c r="AY830" s="23"/>
      <c r="AZ830" s="1"/>
      <c r="BA830" s="23"/>
      <c r="BB830" s="23"/>
      <c r="BC830" s="1"/>
    </row>
    <row r="831" spans="1:55" x14ac:dyDescent="0.25">
      <c r="A831" s="1"/>
      <c r="B831" s="1"/>
      <c r="C831" s="1"/>
      <c r="D831" s="1"/>
      <c r="E831" s="1"/>
      <c r="F831" s="1"/>
      <c r="G831" s="1"/>
      <c r="H831" s="1"/>
      <c r="I831" s="23"/>
      <c r="J831" s="1"/>
      <c r="K831" s="23"/>
      <c r="L831" s="23"/>
      <c r="M831" s="1"/>
      <c r="N831" s="23"/>
      <c r="O831" s="23"/>
      <c r="P831" s="1"/>
      <c r="Q831" s="1"/>
      <c r="R831" s="1"/>
      <c r="S831" s="23"/>
      <c r="T831" s="1"/>
      <c r="U831" s="23"/>
      <c r="V831" s="23"/>
      <c r="W831" s="1"/>
      <c r="X831" s="23"/>
      <c r="Y831" s="23"/>
      <c r="Z831" s="1"/>
      <c r="AA831" s="1"/>
      <c r="AB831" s="1"/>
      <c r="AC831" s="1"/>
      <c r="AD831" s="23"/>
      <c r="AE831" s="1"/>
      <c r="AF831" s="23"/>
      <c r="AG831" s="23"/>
      <c r="AH831" s="1"/>
      <c r="AI831" s="23"/>
      <c r="AJ831" s="23"/>
      <c r="AK831" s="1"/>
      <c r="AL831" s="1"/>
      <c r="AM831" s="1"/>
      <c r="AN831" s="1"/>
      <c r="AO831" s="23"/>
      <c r="AP831" s="1"/>
      <c r="AQ831" s="23"/>
      <c r="AR831" s="23"/>
      <c r="AS831" s="1"/>
      <c r="AX831" s="1"/>
      <c r="AY831" s="23"/>
      <c r="AZ831" s="1"/>
      <c r="BA831" s="23"/>
      <c r="BB831" s="23"/>
      <c r="BC831" s="1"/>
    </row>
    <row r="832" spans="1:55" x14ac:dyDescent="0.25">
      <c r="A832" s="1"/>
      <c r="B832" s="1"/>
      <c r="C832" s="1"/>
      <c r="D832" s="1"/>
      <c r="E832" s="1"/>
      <c r="F832" s="1"/>
      <c r="G832" s="1"/>
      <c r="H832" s="1"/>
      <c r="I832" s="23"/>
      <c r="J832" s="1"/>
      <c r="K832" s="23"/>
      <c r="L832" s="23"/>
      <c r="M832" s="1"/>
      <c r="N832" s="23"/>
      <c r="O832" s="23"/>
      <c r="P832" s="1"/>
      <c r="Q832" s="1"/>
      <c r="R832" s="1"/>
      <c r="S832" s="23"/>
      <c r="T832" s="1"/>
      <c r="U832" s="23"/>
      <c r="V832" s="23"/>
      <c r="W832" s="1"/>
      <c r="X832" s="23"/>
      <c r="Y832" s="23"/>
      <c r="Z832" s="1"/>
      <c r="AA832" s="1"/>
      <c r="AB832" s="1"/>
      <c r="AC832" s="1"/>
      <c r="AD832" s="23"/>
      <c r="AE832" s="1"/>
      <c r="AF832" s="23"/>
      <c r="AG832" s="23"/>
      <c r="AH832" s="1"/>
      <c r="AI832" s="23"/>
      <c r="AJ832" s="23"/>
      <c r="AK832" s="1"/>
      <c r="AL832" s="1"/>
      <c r="AM832" s="1"/>
      <c r="AN832" s="1"/>
      <c r="AO832" s="23"/>
      <c r="AP832" s="1"/>
      <c r="AQ832" s="23"/>
      <c r="AR832" s="23"/>
      <c r="AS832" s="1"/>
      <c r="AX832" s="1"/>
      <c r="AY832" s="23"/>
      <c r="AZ832" s="1"/>
      <c r="BA832" s="23"/>
      <c r="BB832" s="23"/>
      <c r="BC832" s="1"/>
    </row>
    <row r="833" spans="1:55" x14ac:dyDescent="0.25">
      <c r="A833" s="1"/>
      <c r="B833" s="1"/>
      <c r="C833" s="1"/>
      <c r="D833" s="1"/>
      <c r="E833" s="1"/>
      <c r="F833" s="1"/>
      <c r="G833" s="1"/>
      <c r="H833" s="1"/>
      <c r="I833" s="23"/>
      <c r="J833" s="1"/>
      <c r="K833" s="23"/>
      <c r="L833" s="23"/>
      <c r="M833" s="1"/>
      <c r="N833" s="23"/>
      <c r="O833" s="23"/>
      <c r="P833" s="1"/>
      <c r="Q833" s="1"/>
      <c r="R833" s="1"/>
      <c r="S833" s="23"/>
      <c r="T833" s="1"/>
      <c r="U833" s="23"/>
      <c r="V833" s="23"/>
      <c r="W833" s="1"/>
      <c r="X833" s="23"/>
      <c r="Y833" s="23"/>
      <c r="Z833" s="1"/>
      <c r="AA833" s="1"/>
      <c r="AB833" s="1"/>
      <c r="AC833" s="1"/>
      <c r="AD833" s="23"/>
      <c r="AE833" s="1"/>
      <c r="AF833" s="23"/>
      <c r="AG833" s="23"/>
      <c r="AH833" s="1"/>
      <c r="AI833" s="23"/>
      <c r="AJ833" s="23"/>
      <c r="AK833" s="1"/>
      <c r="AL833" s="1"/>
      <c r="AM833" s="1"/>
      <c r="AN833" s="1"/>
      <c r="AO833" s="23"/>
      <c r="AP833" s="1"/>
      <c r="AQ833" s="23"/>
      <c r="AR833" s="23"/>
      <c r="AS833" s="1"/>
      <c r="AX833" s="1"/>
      <c r="AY833" s="23"/>
      <c r="AZ833" s="1"/>
      <c r="BA833" s="23"/>
      <c r="BB833" s="23"/>
      <c r="BC833" s="1"/>
    </row>
    <row r="834" spans="1:55" x14ac:dyDescent="0.25">
      <c r="A834" s="1"/>
      <c r="B834" s="1"/>
      <c r="C834" s="1"/>
      <c r="D834" s="1"/>
      <c r="E834" s="1"/>
      <c r="F834" s="1"/>
      <c r="G834" s="1"/>
      <c r="H834" s="1"/>
      <c r="I834" s="23"/>
      <c r="J834" s="1"/>
      <c r="K834" s="23"/>
      <c r="L834" s="23"/>
      <c r="M834" s="1"/>
      <c r="N834" s="23"/>
      <c r="O834" s="23"/>
      <c r="P834" s="1"/>
      <c r="Q834" s="1"/>
      <c r="R834" s="1"/>
      <c r="S834" s="23"/>
      <c r="T834" s="1"/>
      <c r="U834" s="23"/>
      <c r="V834" s="23"/>
      <c r="W834" s="1"/>
      <c r="X834" s="23"/>
      <c r="Y834" s="23"/>
      <c r="Z834" s="1"/>
      <c r="AA834" s="1"/>
      <c r="AB834" s="1"/>
      <c r="AC834" s="1"/>
      <c r="AD834" s="23"/>
      <c r="AE834" s="1"/>
      <c r="AF834" s="23"/>
      <c r="AG834" s="23"/>
      <c r="AH834" s="1"/>
      <c r="AI834" s="23"/>
      <c r="AJ834" s="23"/>
      <c r="AK834" s="1"/>
      <c r="AL834" s="1"/>
      <c r="AM834" s="1"/>
      <c r="AN834" s="1"/>
      <c r="AO834" s="23"/>
      <c r="AP834" s="1"/>
      <c r="AQ834" s="23"/>
      <c r="AR834" s="23"/>
      <c r="AS834" s="1"/>
      <c r="AX834" s="1"/>
      <c r="AY834" s="23"/>
      <c r="AZ834" s="1"/>
      <c r="BA834" s="23"/>
      <c r="BB834" s="23"/>
      <c r="BC834" s="1"/>
    </row>
    <row r="835" spans="1:55" x14ac:dyDescent="0.25">
      <c r="A835" s="1"/>
      <c r="B835" s="1"/>
      <c r="C835" s="1"/>
      <c r="D835" s="1"/>
      <c r="E835" s="1"/>
      <c r="F835" s="1"/>
      <c r="G835" s="1"/>
      <c r="H835" s="1"/>
      <c r="I835" s="23"/>
      <c r="J835" s="1"/>
      <c r="K835" s="23"/>
      <c r="L835" s="23"/>
      <c r="M835" s="1"/>
      <c r="N835" s="23"/>
      <c r="O835" s="23"/>
      <c r="P835" s="1"/>
      <c r="Q835" s="1"/>
      <c r="R835" s="1"/>
      <c r="S835" s="23"/>
      <c r="T835" s="1"/>
      <c r="U835" s="23"/>
      <c r="V835" s="23"/>
      <c r="W835" s="1"/>
      <c r="X835" s="23"/>
      <c r="Y835" s="23"/>
      <c r="Z835" s="1"/>
      <c r="AA835" s="1"/>
      <c r="AB835" s="1"/>
      <c r="AC835" s="1"/>
      <c r="AD835" s="23"/>
      <c r="AE835" s="1"/>
      <c r="AF835" s="23"/>
      <c r="AG835" s="23"/>
      <c r="AH835" s="1"/>
      <c r="AI835" s="23"/>
      <c r="AJ835" s="23"/>
      <c r="AK835" s="1"/>
      <c r="AL835" s="1"/>
      <c r="AM835" s="1"/>
      <c r="AN835" s="1"/>
      <c r="AO835" s="23"/>
      <c r="AP835" s="1"/>
      <c r="AQ835" s="23"/>
      <c r="AR835" s="23"/>
      <c r="AS835" s="1"/>
      <c r="AX835" s="1"/>
      <c r="AY835" s="23"/>
      <c r="AZ835" s="1"/>
      <c r="BA835" s="23"/>
      <c r="BB835" s="23"/>
      <c r="BC835" s="1"/>
    </row>
    <row r="836" spans="1:55" x14ac:dyDescent="0.25">
      <c r="A836" s="1"/>
      <c r="B836" s="1"/>
      <c r="C836" s="1"/>
      <c r="D836" s="1"/>
      <c r="E836" s="1"/>
      <c r="F836" s="1"/>
      <c r="G836" s="1"/>
      <c r="H836" s="1"/>
      <c r="I836" s="23"/>
      <c r="J836" s="1"/>
      <c r="K836" s="23"/>
      <c r="L836" s="23"/>
      <c r="M836" s="1"/>
      <c r="N836" s="23"/>
      <c r="O836" s="23"/>
      <c r="P836" s="1"/>
      <c r="Q836" s="1"/>
      <c r="R836" s="1"/>
      <c r="S836" s="23"/>
      <c r="T836" s="1"/>
      <c r="U836" s="23"/>
      <c r="V836" s="23"/>
      <c r="W836" s="1"/>
      <c r="X836" s="23"/>
      <c r="Y836" s="23"/>
      <c r="Z836" s="1"/>
      <c r="AA836" s="1"/>
      <c r="AB836" s="1"/>
      <c r="AC836" s="1"/>
      <c r="AD836" s="23"/>
      <c r="AE836" s="1"/>
      <c r="AF836" s="23"/>
      <c r="AG836" s="23"/>
      <c r="AH836" s="1"/>
      <c r="AI836" s="23"/>
      <c r="AJ836" s="23"/>
      <c r="AK836" s="1"/>
      <c r="AL836" s="1"/>
      <c r="AM836" s="1"/>
      <c r="AN836" s="1"/>
      <c r="AO836" s="23"/>
      <c r="AP836" s="1"/>
      <c r="AQ836" s="23"/>
      <c r="AR836" s="23"/>
      <c r="AS836" s="1"/>
      <c r="AX836" s="1"/>
      <c r="AY836" s="23"/>
      <c r="AZ836" s="1"/>
      <c r="BA836" s="23"/>
      <c r="BB836" s="23"/>
      <c r="BC836" s="1"/>
    </row>
    <row r="837" spans="1:55" x14ac:dyDescent="0.25">
      <c r="A837" s="1"/>
      <c r="B837" s="1"/>
      <c r="C837" s="1"/>
      <c r="D837" s="1"/>
      <c r="E837" s="1"/>
      <c r="F837" s="1"/>
      <c r="G837" s="1"/>
      <c r="H837" s="1"/>
      <c r="I837" s="23"/>
      <c r="J837" s="1"/>
      <c r="K837" s="23"/>
      <c r="L837" s="23"/>
      <c r="M837" s="1"/>
      <c r="N837" s="23"/>
      <c r="O837" s="23"/>
      <c r="P837" s="1"/>
      <c r="Q837" s="1"/>
      <c r="R837" s="1"/>
      <c r="S837" s="23"/>
      <c r="T837" s="1"/>
      <c r="U837" s="23"/>
      <c r="V837" s="23"/>
      <c r="W837" s="1"/>
      <c r="X837" s="23"/>
      <c r="Y837" s="23"/>
      <c r="Z837" s="1"/>
      <c r="AA837" s="1"/>
      <c r="AB837" s="1"/>
      <c r="AC837" s="1"/>
      <c r="AD837" s="23"/>
      <c r="AE837" s="1"/>
      <c r="AF837" s="23"/>
      <c r="AG837" s="23"/>
      <c r="AH837" s="1"/>
      <c r="AI837" s="23"/>
      <c r="AJ837" s="23"/>
      <c r="AK837" s="1"/>
      <c r="AL837" s="1"/>
      <c r="AM837" s="1"/>
      <c r="AN837" s="1"/>
      <c r="AO837" s="23"/>
      <c r="AP837" s="1"/>
      <c r="AQ837" s="23"/>
      <c r="AR837" s="23"/>
      <c r="AS837" s="1"/>
      <c r="AX837" s="1"/>
      <c r="AY837" s="23"/>
      <c r="AZ837" s="1"/>
      <c r="BA837" s="23"/>
      <c r="BB837" s="23"/>
      <c r="BC837" s="1"/>
    </row>
  </sheetData>
  <mergeCells count="29">
    <mergeCell ref="R3:U3"/>
    <mergeCell ref="AC3:AF3"/>
    <mergeCell ref="C4:D4"/>
    <mergeCell ref="E4:I4"/>
    <mergeCell ref="R4:U4"/>
    <mergeCell ref="AC4:AF4"/>
    <mergeCell ref="AI1:AJ1"/>
    <mergeCell ref="C2:D2"/>
    <mergeCell ref="E2:I2"/>
    <mergeCell ref="L2:N2"/>
    <mergeCell ref="R2:U2"/>
    <mergeCell ref="X2:Y2"/>
    <mergeCell ref="AC2:AF2"/>
    <mergeCell ref="AI2:AJ2"/>
    <mergeCell ref="R1:T1"/>
    <mergeCell ref="U1:V1"/>
    <mergeCell ref="X1:Y1"/>
    <mergeCell ref="Z1:AA1"/>
    <mergeCell ref="AC1:AE1"/>
    <mergeCell ref="AF1:AG1"/>
    <mergeCell ref="O1:P1"/>
    <mergeCell ref="A1:A3"/>
    <mergeCell ref="B1:D1"/>
    <mergeCell ref="E1:H1"/>
    <mergeCell ref="I1:J1"/>
    <mergeCell ref="L1:N1"/>
    <mergeCell ref="C3:D3"/>
    <mergeCell ref="E3:I3"/>
    <mergeCell ref="L3:N3"/>
  </mergeCells>
  <conditionalFormatting sqref="J2">
    <cfRule type="cellIs" dxfId="1" priority="1" operator="greaterThanOrEqual">
      <formula>42001</formula>
    </cfRule>
  </conditionalFormatting>
  <conditionalFormatting sqref="P2">
    <cfRule type="cellIs" dxfId="0" priority="2" operator="greaterThanOrEqual">
      <formula>300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LTL</vt:lpstr>
      <vt:lpstr>Trailer_Loads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VJDELROSARIO</dc:creator>
  <cp:lastModifiedBy>Victor Jhaiel Del Rosario IV</cp:lastModifiedBy>
  <dcterms:created xsi:type="dcterms:W3CDTF">2015-06-05T18:17:20Z</dcterms:created>
  <dcterms:modified xsi:type="dcterms:W3CDTF">2026-06-11T02:19:49Z</dcterms:modified>
</cp:coreProperties>
</file>