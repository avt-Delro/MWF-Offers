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format_excel/"/>
    </mc:Choice>
  </mc:AlternateContent>
  <xr:revisionPtr revIDLastSave="517" documentId="11_F25DC773A252ABDACC1048891919571A5BDE58EF" xr6:coauthVersionLast="47" xr6:coauthVersionMax="47" xr10:uidLastSave="{ACCCE852-98D8-4D37-9F6A-EC2879888884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L3" i="1"/>
  <c r="L1" i="1"/>
  <c r="CQ3" i="1"/>
  <c r="CT2" i="1"/>
  <c r="CQ2" i="1"/>
  <c r="CQ1" i="1"/>
  <c r="CH3" i="1"/>
  <c r="CK2" i="1"/>
  <c r="CH2" i="1"/>
  <c r="CH1" i="1"/>
  <c r="BY3" i="1"/>
  <c r="CB2" i="1"/>
  <c r="BY2" i="1"/>
  <c r="BY1" i="1"/>
  <c r="BP3" i="1"/>
  <c r="BS2" i="1"/>
  <c r="BP2" i="1"/>
  <c r="BP1" i="1"/>
  <c r="BG2" i="1"/>
  <c r="AX2" i="1"/>
  <c r="BG3" i="1"/>
  <c r="BJ2" i="1"/>
  <c r="BG1" i="1"/>
  <c r="BA2" i="1"/>
  <c r="R3" i="1"/>
  <c r="R2" i="1"/>
  <c r="T2" i="1" s="1"/>
  <c r="R1" i="1"/>
  <c r="AX3" i="1"/>
  <c r="AN3" i="1"/>
  <c r="AE3" i="1"/>
  <c r="AE2" i="1"/>
  <c r="AN2" i="1"/>
  <c r="AQ2" i="1" s="1"/>
  <c r="AE1" i="1"/>
  <c r="AX1" i="1"/>
  <c r="AN1" i="1"/>
  <c r="AH2" i="1"/>
</calcChain>
</file>

<file path=xl/sharedStrings.xml><?xml version="1.0" encoding="utf-8"?>
<sst xmlns="http://schemas.openxmlformats.org/spreadsheetml/2006/main" count="111" uniqueCount="62">
  <si>
    <t>WTD Wholesale Tire Distributors</t>
  </si>
  <si>
    <t>California TOLL FREE: (877)449-4335</t>
  </si>
  <si>
    <t>California TOTAL AMOUNT LOAD:</t>
  </si>
  <si>
    <t>Pennsylvania TOTAL AMOUNT LOAD:</t>
  </si>
  <si>
    <t>Kentucky TOLL FREE: (877)449-4335</t>
  </si>
  <si>
    <t>Kentucky TOTAL AMOUNT LOAD:</t>
  </si>
  <si>
    <t>Carrolton TOTAL AMOUNT LOAD:</t>
  </si>
  <si>
    <t>Fort Worth TOTAL AMOUNT LOAD:</t>
  </si>
  <si>
    <t>Customer Name:</t>
  </si>
  <si>
    <t>California Total Weight (full load met at 42k lbs):</t>
  </si>
  <si>
    <t>Pennsylvania Total Weight (full load met at 42k lbs):</t>
  </si>
  <si>
    <t>Kentucky Total Weight (full load met at 42k lbs):</t>
  </si>
  <si>
    <t>Carrolton Total Weight (full load met at 42k lbs):</t>
  </si>
  <si>
    <t>Fort Worth Total Weight (full load met at 42k lbs):</t>
  </si>
  <si>
    <t>Account #:</t>
  </si>
  <si>
    <t>California Total Piece Count:</t>
  </si>
  <si>
    <t>Pennsylvania Total Piece Count:</t>
  </si>
  <si>
    <t>Kentucky Total Piece Count:</t>
  </si>
  <si>
    <t>Carrolton Total Piece Count:</t>
  </si>
  <si>
    <t>Fort Worth Total Piece Count:</t>
  </si>
  <si>
    <t>PO #:</t>
  </si>
  <si>
    <t>Date:</t>
  </si>
  <si>
    <t>Brand</t>
  </si>
  <si>
    <t>Product Code</t>
  </si>
  <si>
    <t>Size</t>
  </si>
  <si>
    <t>Load Speed</t>
  </si>
  <si>
    <t>Pattern</t>
  </si>
  <si>
    <t>Position</t>
  </si>
  <si>
    <t>Ply</t>
  </si>
  <si>
    <t>Cat Filter</t>
  </si>
  <si>
    <t>California On
Hand Inventory</t>
  </si>
  <si>
    <t>Price/Tire</t>
  </si>
  <si>
    <t>Order QTY</t>
  </si>
  <si>
    <t>Subtotal</t>
  </si>
  <si>
    <t>F.E.T.</t>
  </si>
  <si>
    <t>Cut/Fill</t>
  </si>
  <si>
    <t>Item Desc</t>
  </si>
  <si>
    <t>Latrobe On
Hand Inventory</t>
  </si>
  <si>
    <t>SubTotal</t>
  </si>
  <si>
    <t>Kentucky On
Hand Inventory</t>
  </si>
  <si>
    <t>Carrolton On
Hand Inventory</t>
  </si>
  <si>
    <t>Fort Worth On
Hand Inventory</t>
  </si>
  <si>
    <t>Apopka On
Hand Inventory</t>
  </si>
  <si>
    <t>Apopka Total Weight (full load met at 42k lbs):</t>
  </si>
  <si>
    <t>Apopka Total Piece Count:</t>
  </si>
  <si>
    <t>Apopka TOTAL AMOUNT LOAD:</t>
  </si>
  <si>
    <t>Miami TOTAL AMOUNT LOAD:</t>
  </si>
  <si>
    <t>Miami Total Weight (full load met at 42k lbs):</t>
  </si>
  <si>
    <t>Miami Total Piece Count:</t>
  </si>
  <si>
    <t>Bloomsburg TOTAL AMOUNT LOAD:</t>
  </si>
  <si>
    <t>Bloomsburg Total Weight (full load met at 42k lbs):</t>
  </si>
  <si>
    <t>Bloomsburg Total Piece Count:</t>
  </si>
  <si>
    <t>Miami On
Hand Inventory</t>
  </si>
  <si>
    <t>Bloomsburg On
Hand Inventory</t>
  </si>
  <si>
    <t>Winchester, Tennesse On
Hand Inventory</t>
  </si>
  <si>
    <t>Winchester, Kentucky On
Hand Inventory</t>
  </si>
  <si>
    <t>Winchester, KY Total Weight (full load met at 42k lbs):</t>
  </si>
  <si>
    <t>Winchester, KY TOTAL AMOUNT LOAD:</t>
  </si>
  <si>
    <t>Winchester, TN TOTAL AMOUNT LOAD:</t>
  </si>
  <si>
    <t>Winchester, TN Total Weight (full load met at 42k lbs):</t>
  </si>
  <si>
    <t>Winchester, TN Total Piece Count:</t>
  </si>
  <si>
    <t>Winchester, KY Total Piece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</si>
</sst>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165" fontId="2" fillId="3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" fontId="3" fillId="3" borderId="2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"/>
  <sheetViews>
    <sheetView tabSelected="1" topLeftCell="BA1" workbookViewId="0">
      <pane ySplit="5" topLeftCell="A6" activePane="bottomLeft" state="frozen"/>
      <selection activeCell="P1" sqref="P1"/>
      <selection pane="bottomLeft" activeCell="BM4" sqref="BM4:BP4"/>
    </sheetView>
  </sheetViews>
  <sheetFormatPr defaultRowHeight="15" x14ac:dyDescent="0.25"/>
  <cols>
    <col min="1" max="1" width="20.140625" customWidth="1"/>
    <col min="2" max="2" width="18.7109375" bestFit="1" customWidth="1"/>
    <col min="3" max="3" width="19.42578125" customWidth="1"/>
    <col min="4" max="4" width="12.5703125" customWidth="1"/>
    <col min="5" max="5" width="18.42578125" customWidth="1"/>
    <col min="6" max="6" width="25.5703125" customWidth="1"/>
    <col min="8" max="8" width="13.5703125" customWidth="1"/>
    <col min="9" max="9" width="13.28515625" customWidth="1"/>
    <col min="10" max="10" width="13.140625" style="1" customWidth="1"/>
    <col min="11" max="11" width="13.7109375" customWidth="1"/>
    <col min="12" max="12" width="9.140625" style="1" customWidth="1"/>
    <col min="13" max="14" width="9.140625" customWidth="1"/>
    <col min="15" max="16" width="3.7109375" customWidth="1"/>
    <col min="17" max="17" width="32.140625" customWidth="1"/>
    <col min="18" max="18" width="15.85546875" style="1" customWidth="1"/>
    <col min="19" max="19" width="15.5703125" customWidth="1"/>
    <col min="20" max="20" width="16" style="1" customWidth="1"/>
    <col min="21" max="21" width="9.140625" customWidth="1"/>
    <col min="22" max="22" width="14.140625" customWidth="1"/>
    <col min="23" max="25" width="3.7109375" customWidth="1"/>
    <col min="26" max="26" width="20.7109375" customWidth="1"/>
    <col min="27" max="27" width="17.5703125" customWidth="1"/>
    <col min="28" max="28" width="19.42578125" customWidth="1"/>
    <col min="29" max="29" width="13.85546875" customWidth="1"/>
    <col min="30" max="30" width="29.28515625" style="1" customWidth="1"/>
    <col min="31" max="31" width="12.140625" customWidth="1"/>
    <col min="32" max="32" width="19.7109375" style="1" customWidth="1"/>
    <col min="33" max="33" width="9.140625" customWidth="1"/>
    <col min="34" max="34" width="16.140625" customWidth="1"/>
    <col min="35" max="37" width="3.7109375" customWidth="1"/>
    <col min="38" max="38" width="14" customWidth="1"/>
    <col min="39" max="39" width="32" style="1" customWidth="1"/>
    <col min="40" max="40" width="16" customWidth="1"/>
    <col min="41" max="41" width="12.5703125" style="1" customWidth="1"/>
    <col min="42" max="42" width="8.7109375" customWidth="1"/>
    <col min="43" max="43" width="16.42578125" customWidth="1"/>
    <col min="44" max="46" width="3.7109375" customWidth="1"/>
    <col min="47" max="47" width="13.140625" customWidth="1"/>
    <col min="48" max="48" width="14.140625" style="1" customWidth="1"/>
    <col min="49" max="49" width="21.140625" customWidth="1"/>
    <col min="50" max="50" width="12.85546875" style="1" customWidth="1"/>
    <col min="51" max="51" width="11.85546875" customWidth="1"/>
    <col min="52" max="52" width="18.28515625" customWidth="1"/>
    <col min="53" max="53" width="13.28515625" customWidth="1"/>
    <col min="54" max="55" width="3.7109375" customWidth="1"/>
    <col min="56" max="56" width="18.28515625" customWidth="1"/>
    <col min="57" max="57" width="18" customWidth="1"/>
    <col min="58" max="58" width="18.5703125" customWidth="1"/>
    <col min="59" max="59" width="17.42578125" customWidth="1"/>
    <col min="60" max="62" width="9.140625" customWidth="1"/>
    <col min="63" max="64" width="3.7109375" customWidth="1"/>
    <col min="65" max="65" width="18.28515625" customWidth="1"/>
    <col min="66" max="66" width="18" customWidth="1"/>
    <col min="67" max="67" width="18.5703125" customWidth="1"/>
    <col min="68" max="68" width="17.42578125" customWidth="1"/>
    <col min="69" max="71" width="9.140625" customWidth="1"/>
    <col min="72" max="73" width="3.7109375" customWidth="1"/>
    <col min="74" max="74" width="18.28515625" customWidth="1"/>
    <col min="75" max="75" width="18" customWidth="1"/>
    <col min="76" max="76" width="18.5703125" customWidth="1"/>
    <col min="77" max="77" width="17.42578125" customWidth="1"/>
    <col min="78" max="80" width="9.140625" customWidth="1"/>
    <col min="81" max="82" width="3.7109375" customWidth="1"/>
    <col min="83" max="83" width="18.28515625" customWidth="1"/>
    <col min="84" max="84" width="18" customWidth="1"/>
    <col min="85" max="85" width="18.5703125" customWidth="1"/>
    <col min="86" max="86" width="17.42578125" customWidth="1"/>
    <col min="87" max="89" width="9.140625" customWidth="1"/>
    <col min="90" max="91" width="3.7109375" customWidth="1"/>
    <col min="92" max="92" width="17.140625" customWidth="1"/>
    <col min="93" max="93" width="14.140625" customWidth="1"/>
    <col min="94" max="94" width="14" customWidth="1"/>
    <col min="95" max="95" width="11" customWidth="1"/>
    <col min="96" max="120" width="9.140625" customWidth="1"/>
  </cols>
  <sheetData>
    <row r="1" spans="1:98" ht="45" customHeight="1" x14ac:dyDescent="0.25">
      <c r="A1" s="18" t="s">
        <v>0</v>
      </c>
      <c r="B1" s="19" t="s">
        <v>1</v>
      </c>
      <c r="C1" s="19"/>
      <c r="D1" s="20"/>
      <c r="E1" s="25"/>
      <c r="F1" s="25"/>
      <c r="G1" s="24"/>
      <c r="H1" s="24"/>
      <c r="I1" s="6"/>
      <c r="J1" s="25" t="s">
        <v>2</v>
      </c>
      <c r="K1" s="25"/>
      <c r="L1" s="16">
        <f>SUM(L6:L3000)</f>
        <v>0</v>
      </c>
      <c r="M1" s="16"/>
      <c r="N1" s="21"/>
      <c r="O1" s="21"/>
      <c r="P1" s="7"/>
      <c r="Q1" s="8" t="s">
        <v>3</v>
      </c>
      <c r="R1" s="16">
        <f>SUM(T6:T3000)</f>
        <v>0</v>
      </c>
      <c r="S1" s="16"/>
      <c r="T1" s="9"/>
      <c r="U1" s="9"/>
      <c r="V1" s="5"/>
      <c r="W1" s="5"/>
      <c r="X1" s="5"/>
      <c r="Y1" s="7"/>
      <c r="Z1" s="21" t="s">
        <v>4</v>
      </c>
      <c r="AA1" s="21"/>
      <c r="AB1" s="7"/>
      <c r="AC1" s="17" t="s">
        <v>5</v>
      </c>
      <c r="AD1" s="17"/>
      <c r="AE1" s="16">
        <f>SUM(AF6:AF3000)</f>
        <v>0</v>
      </c>
      <c r="AF1" s="16"/>
      <c r="AG1" s="16"/>
      <c r="AH1" s="5"/>
      <c r="AI1" s="5"/>
      <c r="AJ1" s="5"/>
      <c r="AK1" s="10"/>
      <c r="AL1" s="15" t="s">
        <v>6</v>
      </c>
      <c r="AM1" s="15"/>
      <c r="AN1" s="16">
        <f>SUM(AO6:AO3000)</f>
        <v>0</v>
      </c>
      <c r="AO1" s="16"/>
      <c r="AP1" s="16"/>
      <c r="AQ1" s="9"/>
      <c r="AR1" s="5"/>
      <c r="AS1" s="5"/>
      <c r="AT1" s="10"/>
      <c r="AU1" s="15" t="s">
        <v>7</v>
      </c>
      <c r="AV1" s="15"/>
      <c r="AW1" s="15"/>
      <c r="AX1" s="16">
        <f>SUM(AX6:AX3000)</f>
        <v>0</v>
      </c>
      <c r="AY1" s="16"/>
      <c r="AZ1" s="16"/>
      <c r="BA1" s="5"/>
      <c r="BD1" s="15" t="s">
        <v>45</v>
      </c>
      <c r="BE1" s="15"/>
      <c r="BF1" s="15"/>
      <c r="BG1" s="16">
        <f>SUM(BG6:BG3000)</f>
        <v>0</v>
      </c>
      <c r="BH1" s="16"/>
      <c r="BI1" s="16"/>
      <c r="BJ1" s="5"/>
      <c r="BM1" s="15" t="s">
        <v>57</v>
      </c>
      <c r="BN1" s="15"/>
      <c r="BO1" s="15"/>
      <c r="BP1" s="16">
        <f>SUM(BP6:BP3000)</f>
        <v>0</v>
      </c>
      <c r="BQ1" s="16"/>
      <c r="BR1" s="16"/>
      <c r="BS1" s="5"/>
      <c r="BV1" s="15" t="s">
        <v>46</v>
      </c>
      <c r="BW1" s="15"/>
      <c r="BX1" s="15"/>
      <c r="BY1" s="16">
        <f>SUM(BY6:BY3000)</f>
        <v>0</v>
      </c>
      <c r="BZ1" s="16"/>
      <c r="CA1" s="16"/>
      <c r="CB1" s="5"/>
      <c r="CE1" s="15" t="s">
        <v>49</v>
      </c>
      <c r="CF1" s="15"/>
      <c r="CG1" s="15"/>
      <c r="CH1" s="16">
        <f>SUM(CH6:CH3000)</f>
        <v>0</v>
      </c>
      <c r="CI1" s="16"/>
      <c r="CJ1" s="16"/>
      <c r="CK1" s="5"/>
      <c r="CN1" s="15" t="s">
        <v>58</v>
      </c>
      <c r="CO1" s="15"/>
      <c r="CP1" s="15"/>
      <c r="CQ1" s="16">
        <f>SUM(CQ6:CQ3000)</f>
        <v>0</v>
      </c>
      <c r="CR1" s="16"/>
      <c r="CS1" s="16"/>
      <c r="CT1" s="5"/>
    </row>
    <row r="2" spans="1:98" ht="76.5" customHeight="1" x14ac:dyDescent="0.25">
      <c r="A2" s="18"/>
      <c r="B2" s="11" t="s">
        <v>8</v>
      </c>
      <c r="C2" s="22"/>
      <c r="D2" s="22"/>
      <c r="E2" s="23"/>
      <c r="F2" s="23"/>
      <c r="G2" s="23"/>
      <c r="H2" s="23"/>
      <c r="I2" s="3"/>
      <c r="J2" s="23" t="s">
        <v>9</v>
      </c>
      <c r="K2" s="23"/>
      <c r="L2" s="23">
        <f>SUM(O6:O3000)</f>
        <v>0</v>
      </c>
      <c r="M2" s="23"/>
      <c r="N2" s="3" t="str">
        <f>IF(L2&gt;42000,"WEIGHT EXCEEDS LIMIT, PLEASE ASSIGN CUT ITEM","WEIGHT UNDER LIMIT, PLEASE ASSIGN FILL ITEM")</f>
        <v>WEIGHT UNDER LIMIT, PLEASE ASSIGN FILL ITEM</v>
      </c>
      <c r="O2" s="12"/>
      <c r="P2" s="10"/>
      <c r="Q2" s="10" t="s">
        <v>10</v>
      </c>
      <c r="R2" s="15">
        <f>SUM(X6:X3000)</f>
        <v>0</v>
      </c>
      <c r="S2" s="15"/>
      <c r="T2" s="3" t="str">
        <f>IF(R2&gt;42000,"WEIGHT EXCEEDS LIMIT, PLEASE ASSIGN CUT ITEM","WEIGHT UNDER LIMIT, PLEASE ASSIGN FILL ITEM")</f>
        <v>WEIGHT UNDER LIMIT, PLEASE ASSIGN FILL ITEM</v>
      </c>
      <c r="U2" s="13"/>
      <c r="V2" s="3"/>
      <c r="W2" s="5"/>
      <c r="X2" s="5"/>
      <c r="Y2" s="5"/>
      <c r="Z2" s="12" t="s">
        <v>8</v>
      </c>
      <c r="AA2" s="12"/>
      <c r="AB2" s="10"/>
      <c r="AC2" s="15" t="s">
        <v>11</v>
      </c>
      <c r="AD2" s="15"/>
      <c r="AE2" s="15">
        <f>SUM(AI6:AI3000)</f>
        <v>0</v>
      </c>
      <c r="AF2" s="15"/>
      <c r="AG2" s="15"/>
      <c r="AH2" s="3" t="str">
        <f>IF(AE2&gt;42000,"WEIGHT EXCEEDS LIMIT, PLEASE ASSIGN CUT ITEM","WEIGHT UNDER LIMIT, PLEASE ASSIGN FILL ITEM")</f>
        <v>WEIGHT UNDER LIMIT, PLEASE ASSIGN FILL ITEM</v>
      </c>
      <c r="AI2" s="5"/>
      <c r="AJ2" s="5"/>
      <c r="AK2" s="10"/>
      <c r="AL2" s="15" t="s">
        <v>12</v>
      </c>
      <c r="AM2" s="15"/>
      <c r="AN2" s="15">
        <f>SUM(AR6:AR3000)</f>
        <v>0</v>
      </c>
      <c r="AO2" s="15"/>
      <c r="AP2" s="15"/>
      <c r="AQ2" s="3" t="str">
        <f>IF(AN2&gt;42000,"WEIGHT EXCEEDS LIMIT, PLEASE ASSIGN CUT ITEM","WEIGHT UNDER LIMIT, PLEASE ASSIGN FILL ITEM")</f>
        <v>WEIGHT UNDER LIMIT, PLEASE ASSIGN FILL ITEM</v>
      </c>
      <c r="AR2" s="5"/>
      <c r="AS2" s="5"/>
      <c r="AT2" s="10"/>
      <c r="AU2" s="15" t="s">
        <v>13</v>
      </c>
      <c r="AV2" s="15"/>
      <c r="AW2" s="15"/>
      <c r="AX2" s="15">
        <f>SUM(BB6:BB3000)</f>
        <v>0</v>
      </c>
      <c r="AY2" s="15"/>
      <c r="AZ2" s="15"/>
      <c r="BA2" s="3" t="str">
        <f>IF(AY2&gt;42000,"WEIGHT EXCEEDS LIMIT, PLEASE ASSIGN CUT ITEM","WEIGHT UNDER LIMIT, PLEASE ASSIGN FILL ITEM")</f>
        <v>WEIGHT UNDER LIMIT, PLEASE ASSIGN FILL ITEM</v>
      </c>
      <c r="BD2" s="15" t="s">
        <v>43</v>
      </c>
      <c r="BE2" s="15"/>
      <c r="BF2" s="15"/>
      <c r="BG2" s="15">
        <f>SUM(BK6:BK3000)</f>
        <v>0</v>
      </c>
      <c r="BH2" s="15"/>
      <c r="BI2" s="15"/>
      <c r="BJ2" s="3" t="str">
        <f>IF(BH2&gt;42000,"WEIGHT EXCEEDS LIMIT, PLEASE ASSIGN CUT ITEM","WEIGHT UNDER LIMIT, PLEASE ASSIGN FILL ITEM")</f>
        <v>WEIGHT UNDER LIMIT, PLEASE ASSIGN FILL ITEM</v>
      </c>
      <c r="BM2" s="15" t="s">
        <v>56</v>
      </c>
      <c r="BN2" s="15"/>
      <c r="BO2" s="15"/>
      <c r="BP2" s="15">
        <f>SUM(BT6:BT3000)</f>
        <v>0</v>
      </c>
      <c r="BQ2" s="15"/>
      <c r="BR2" s="15"/>
      <c r="BS2" s="3" t="str">
        <f>IF(BQ2&gt;42000,"WEIGHT EXCEEDS LIMIT, PLEASE ASSIGN CUT ITEM","WEIGHT UNDER LIMIT, PLEASE ASSIGN FILL ITEM")</f>
        <v>WEIGHT UNDER LIMIT, PLEASE ASSIGN FILL ITEM</v>
      </c>
      <c r="BV2" s="15" t="s">
        <v>47</v>
      </c>
      <c r="BW2" s="15"/>
      <c r="BX2" s="15"/>
      <c r="BY2" s="15">
        <f>SUM(CC6:CC3000)</f>
        <v>0</v>
      </c>
      <c r="BZ2" s="15"/>
      <c r="CA2" s="15"/>
      <c r="CB2" s="3" t="str">
        <f>IF(BZ2&gt;42000,"WEIGHT EXCEEDS LIMIT, PLEASE ASSIGN CUT ITEM","WEIGHT UNDER LIMIT, PLEASE ASSIGN FILL ITEM")</f>
        <v>WEIGHT UNDER LIMIT, PLEASE ASSIGN FILL ITEM</v>
      </c>
      <c r="CE2" s="15" t="s">
        <v>50</v>
      </c>
      <c r="CF2" s="15"/>
      <c r="CG2" s="15"/>
      <c r="CH2" s="15">
        <f>SUM(CL6:CL3000)</f>
        <v>0</v>
      </c>
      <c r="CI2" s="15"/>
      <c r="CJ2" s="15"/>
      <c r="CK2" s="3" t="str">
        <f>IF(CI2&gt;42000,"WEIGHT EXCEEDS LIMIT, PLEASE ASSIGN CUT ITEM","WEIGHT UNDER LIMIT, PLEASE ASSIGN FILL ITEM")</f>
        <v>WEIGHT UNDER LIMIT, PLEASE ASSIGN FILL ITEM</v>
      </c>
      <c r="CN2" s="15" t="s">
        <v>59</v>
      </c>
      <c r="CO2" s="15"/>
      <c r="CP2" s="15"/>
      <c r="CQ2" s="15">
        <f>SUM(CU6:CU3000)</f>
        <v>0</v>
      </c>
      <c r="CR2" s="15"/>
      <c r="CS2" s="15"/>
      <c r="CT2" s="3" t="str">
        <f>IF(CR2&gt;42000,"WEIGHT EXCEEDS LIMIT, PLEASE ASSIGN CUT ITEM","WEIGHT UNDER LIMIT, PLEASE ASSIGN FILL ITEM")</f>
        <v>WEIGHT UNDER LIMIT, PLEASE ASSIGN FILL ITEM</v>
      </c>
    </row>
    <row r="3" spans="1:98" ht="34.5" customHeight="1" x14ac:dyDescent="0.25">
      <c r="A3" s="18"/>
      <c r="B3" s="11" t="s">
        <v>14</v>
      </c>
      <c r="C3" s="22"/>
      <c r="D3" s="22"/>
      <c r="E3" s="23"/>
      <c r="F3" s="23"/>
      <c r="G3" s="26"/>
      <c r="H3" s="26"/>
      <c r="I3" s="14"/>
      <c r="J3" s="23" t="s">
        <v>15</v>
      </c>
      <c r="K3" s="23"/>
      <c r="L3" s="26">
        <f>SUM(K6:K3000)</f>
        <v>0</v>
      </c>
      <c r="M3" s="26"/>
      <c r="N3" s="12"/>
      <c r="O3" s="12"/>
      <c r="P3" s="10"/>
      <c r="Q3" s="10" t="s">
        <v>16</v>
      </c>
      <c r="R3" s="26">
        <f>SUM(S6:S3000)</f>
        <v>0</v>
      </c>
      <c r="S3" s="26"/>
      <c r="T3" s="26"/>
      <c r="U3" s="26"/>
      <c r="V3" s="3"/>
      <c r="W3" s="5"/>
      <c r="X3" s="5"/>
      <c r="Y3" s="5"/>
      <c r="Z3" s="12" t="s">
        <v>14</v>
      </c>
      <c r="AA3" s="12"/>
      <c r="AB3" s="10"/>
      <c r="AC3" s="15" t="s">
        <v>17</v>
      </c>
      <c r="AD3" s="15"/>
      <c r="AE3" s="15">
        <f>SUM(AE6:AE3000)</f>
        <v>0</v>
      </c>
      <c r="AF3" s="15"/>
      <c r="AG3" s="15"/>
      <c r="AH3" s="3"/>
      <c r="AI3" s="5"/>
      <c r="AJ3" s="5"/>
      <c r="AK3" s="10"/>
      <c r="AL3" s="15" t="s">
        <v>18</v>
      </c>
      <c r="AM3" s="15"/>
      <c r="AN3" s="15">
        <f>SUM(AN6:AN3000)</f>
        <v>0</v>
      </c>
      <c r="AO3" s="15"/>
      <c r="AP3" s="15"/>
      <c r="AQ3" s="3"/>
      <c r="AR3" s="5"/>
      <c r="AS3" s="5"/>
      <c r="AT3" s="10"/>
      <c r="AU3" s="15" t="s">
        <v>19</v>
      </c>
      <c r="AV3" s="15"/>
      <c r="AW3" s="15"/>
      <c r="AX3" s="15">
        <f>SUM(AW6:AW3000)</f>
        <v>0</v>
      </c>
      <c r="AY3" s="15"/>
      <c r="AZ3" s="15"/>
      <c r="BA3" s="5"/>
      <c r="BD3" s="15" t="s">
        <v>44</v>
      </c>
      <c r="BE3" s="15"/>
      <c r="BF3" s="15"/>
      <c r="BG3" s="15">
        <f>SUM(BF6:BF3000)</f>
        <v>0</v>
      </c>
      <c r="BH3" s="15"/>
      <c r="BI3" s="15"/>
      <c r="BJ3" s="5"/>
      <c r="BM3" s="15" t="s">
        <v>61</v>
      </c>
      <c r="BN3" s="15"/>
      <c r="BO3" s="15"/>
      <c r="BP3" s="15">
        <f>SUM(BO6:BO3000)</f>
        <v>0</v>
      </c>
      <c r="BQ3" s="15"/>
      <c r="BR3" s="15"/>
      <c r="BS3" s="5"/>
      <c r="BV3" s="15" t="s">
        <v>48</v>
      </c>
      <c r="BW3" s="15"/>
      <c r="BX3" s="15"/>
      <c r="BY3" s="15">
        <f>SUM(BX6:BX3000)</f>
        <v>0</v>
      </c>
      <c r="BZ3" s="15"/>
      <c r="CA3" s="15"/>
      <c r="CB3" s="5"/>
      <c r="CE3" s="15" t="s">
        <v>51</v>
      </c>
      <c r="CF3" s="15"/>
      <c r="CG3" s="15"/>
      <c r="CH3" s="15">
        <f>SUM(CG6:CG3000)</f>
        <v>0</v>
      </c>
      <c r="CI3" s="15"/>
      <c r="CJ3" s="15"/>
      <c r="CK3" s="5"/>
      <c r="CN3" s="15" t="s">
        <v>60</v>
      </c>
      <c r="CO3" s="15"/>
      <c r="CP3" s="15"/>
      <c r="CQ3" s="15">
        <f>SUM(CP6:CP3000)</f>
        <v>0</v>
      </c>
      <c r="CR3" s="15"/>
      <c r="CS3" s="15"/>
      <c r="CT3" s="5"/>
    </row>
    <row r="4" spans="1:98" ht="17.25" x14ac:dyDescent="0.25">
      <c r="A4" s="5"/>
      <c r="B4" s="11" t="s">
        <v>20</v>
      </c>
      <c r="C4" s="22"/>
      <c r="D4" s="22"/>
      <c r="E4" s="23" t="s">
        <v>21</v>
      </c>
      <c r="F4" s="23"/>
      <c r="G4" s="23"/>
      <c r="H4" s="23"/>
      <c r="I4" s="27"/>
      <c r="J4" s="27"/>
      <c r="K4" s="5"/>
      <c r="L4" s="5"/>
      <c r="M4" s="5"/>
      <c r="N4" s="12"/>
      <c r="O4" s="12"/>
      <c r="P4" s="10"/>
      <c r="Q4" s="15"/>
      <c r="R4" s="15"/>
      <c r="S4" s="15"/>
      <c r="T4" s="15"/>
      <c r="U4" s="10"/>
      <c r="V4" s="5"/>
      <c r="W4" s="5"/>
      <c r="X4" s="5"/>
      <c r="Y4" s="5"/>
      <c r="Z4" s="12" t="s">
        <v>20</v>
      </c>
      <c r="AA4" s="12"/>
      <c r="AB4" s="10"/>
      <c r="AC4" s="15"/>
      <c r="AD4" s="15"/>
      <c r="AE4" s="15"/>
      <c r="AF4" s="15"/>
      <c r="AG4" s="10"/>
      <c r="AH4" s="5"/>
      <c r="AI4" s="5"/>
      <c r="AJ4" s="5"/>
      <c r="AK4" s="10"/>
      <c r="AL4" s="15"/>
      <c r="AM4" s="15"/>
      <c r="AN4" s="15"/>
      <c r="AO4" s="15"/>
      <c r="AP4" s="10"/>
      <c r="AQ4" s="10"/>
      <c r="AR4" s="5"/>
      <c r="AS4" s="5"/>
      <c r="AT4" s="10"/>
      <c r="AU4" s="15"/>
      <c r="AV4" s="15"/>
      <c r="AW4" s="15"/>
      <c r="AX4" s="15"/>
      <c r="AY4" s="10"/>
      <c r="AZ4" s="10"/>
      <c r="BA4" s="5"/>
      <c r="BD4" s="15"/>
      <c r="BE4" s="15"/>
      <c r="BF4" s="15"/>
      <c r="BG4" s="15"/>
      <c r="BH4" s="10"/>
      <c r="BI4" s="10"/>
      <c r="BJ4" s="5"/>
      <c r="BM4" s="15"/>
      <c r="BN4" s="15"/>
      <c r="BO4" s="15"/>
      <c r="BP4" s="15"/>
      <c r="BQ4" s="10"/>
      <c r="BR4" s="10"/>
      <c r="BS4" s="5"/>
      <c r="BV4" s="15"/>
      <c r="BW4" s="15"/>
      <c r="BX4" s="15"/>
      <c r="BY4" s="15"/>
      <c r="BZ4" s="10"/>
      <c r="CA4" s="10"/>
      <c r="CB4" s="5"/>
      <c r="CE4" s="15"/>
      <c r="CF4" s="15"/>
      <c r="CG4" s="15"/>
      <c r="CH4" s="15"/>
      <c r="CI4" s="10"/>
      <c r="CJ4" s="10"/>
      <c r="CK4" s="5"/>
      <c r="CN4" s="15"/>
      <c r="CO4" s="15"/>
      <c r="CP4" s="15"/>
      <c r="CQ4" s="15"/>
      <c r="CR4" s="10"/>
      <c r="CS4" s="10"/>
      <c r="CT4" s="5"/>
    </row>
    <row r="5" spans="1:98" s="2" customFormat="1" ht="63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5"/>
      <c r="P5" s="5"/>
      <c r="Q5" s="4" t="s">
        <v>37</v>
      </c>
      <c r="R5" s="4" t="s">
        <v>31</v>
      </c>
      <c r="S5" s="4" t="s">
        <v>32</v>
      </c>
      <c r="T5" s="4" t="s">
        <v>38</v>
      </c>
      <c r="U5" s="4" t="s">
        <v>34</v>
      </c>
      <c r="V5" s="4" t="s">
        <v>35</v>
      </c>
      <c r="W5" s="5"/>
      <c r="X5" s="5"/>
      <c r="Y5" s="5"/>
      <c r="Z5" s="4" t="s">
        <v>22</v>
      </c>
      <c r="AA5" s="4" t="s">
        <v>23</v>
      </c>
      <c r="AB5" s="4" t="s">
        <v>36</v>
      </c>
      <c r="AC5" s="4" t="s">
        <v>39</v>
      </c>
      <c r="AD5" s="4" t="s">
        <v>31</v>
      </c>
      <c r="AE5" s="4" t="s">
        <v>32</v>
      </c>
      <c r="AF5" s="4" t="s">
        <v>38</v>
      </c>
      <c r="AG5" s="4" t="s">
        <v>34</v>
      </c>
      <c r="AH5" s="4" t="s">
        <v>35</v>
      </c>
      <c r="AI5" s="5"/>
      <c r="AJ5" s="5"/>
      <c r="AK5" s="5"/>
      <c r="AL5" s="4" t="s">
        <v>40</v>
      </c>
      <c r="AM5" s="4" t="s">
        <v>31</v>
      </c>
      <c r="AN5" s="4" t="s">
        <v>32</v>
      </c>
      <c r="AO5" s="4" t="s">
        <v>38</v>
      </c>
      <c r="AP5" s="4" t="s">
        <v>34</v>
      </c>
      <c r="AQ5" s="4" t="s">
        <v>35</v>
      </c>
      <c r="AR5" s="5"/>
      <c r="AS5" s="5"/>
      <c r="AT5" s="5"/>
      <c r="AU5" s="4" t="s">
        <v>41</v>
      </c>
      <c r="AV5" s="4" t="s">
        <v>31</v>
      </c>
      <c r="AW5" s="4" t="s">
        <v>32</v>
      </c>
      <c r="AX5" s="4" t="s">
        <v>38</v>
      </c>
      <c r="AY5" s="4" t="s">
        <v>34</v>
      </c>
      <c r="AZ5" s="4" t="s">
        <v>35</v>
      </c>
      <c r="BA5" s="5"/>
      <c r="BD5" s="4" t="s">
        <v>42</v>
      </c>
      <c r="BE5" s="4" t="s">
        <v>31</v>
      </c>
      <c r="BF5" s="4" t="s">
        <v>32</v>
      </c>
      <c r="BG5" s="4" t="s">
        <v>38</v>
      </c>
      <c r="BH5" s="4" t="s">
        <v>34</v>
      </c>
      <c r="BI5" s="4" t="s">
        <v>35</v>
      </c>
      <c r="BJ5" s="5"/>
      <c r="BM5" s="4" t="s">
        <v>55</v>
      </c>
      <c r="BN5" s="4" t="s">
        <v>31</v>
      </c>
      <c r="BO5" s="4" t="s">
        <v>32</v>
      </c>
      <c r="BP5" s="4" t="s">
        <v>38</v>
      </c>
      <c r="BQ5" s="4" t="s">
        <v>34</v>
      </c>
      <c r="BR5" s="4" t="s">
        <v>35</v>
      </c>
      <c r="BS5" s="5"/>
      <c r="BV5" s="4" t="s">
        <v>52</v>
      </c>
      <c r="BW5" s="4" t="s">
        <v>31</v>
      </c>
      <c r="BX5" s="4" t="s">
        <v>32</v>
      </c>
      <c r="BY5" s="4" t="s">
        <v>38</v>
      </c>
      <c r="BZ5" s="4" t="s">
        <v>34</v>
      </c>
      <c r="CA5" s="4" t="s">
        <v>35</v>
      </c>
      <c r="CB5" s="5"/>
      <c r="CE5" s="4" t="s">
        <v>53</v>
      </c>
      <c r="CF5" s="4" t="s">
        <v>31</v>
      </c>
      <c r="CG5" s="4" t="s">
        <v>32</v>
      </c>
      <c r="CH5" s="4" t="s">
        <v>38</v>
      </c>
      <c r="CI5" s="4" t="s">
        <v>34</v>
      </c>
      <c r="CJ5" s="4" t="s">
        <v>35</v>
      </c>
      <c r="CK5" s="5"/>
      <c r="CN5" s="4" t="s">
        <v>54</v>
      </c>
      <c r="CO5" s="4" t="s">
        <v>31</v>
      </c>
      <c r="CP5" s="4" t="s">
        <v>32</v>
      </c>
      <c r="CQ5" s="4" t="s">
        <v>38</v>
      </c>
      <c r="CR5" s="4" t="s">
        <v>34</v>
      </c>
      <c r="CS5" s="4" t="s">
        <v>35</v>
      </c>
      <c r="CT5" s="5"/>
    </row>
  </sheetData>
  <mergeCells count="82">
    <mergeCell ref="AC4:AF4"/>
    <mergeCell ref="AL4:AO4"/>
    <mergeCell ref="AU4:AX4"/>
    <mergeCell ref="E4:H4"/>
    <mergeCell ref="I4:J4"/>
    <mergeCell ref="Z1:AA1"/>
    <mergeCell ref="R1:S1"/>
    <mergeCell ref="R2:S2"/>
    <mergeCell ref="C4:D4"/>
    <mergeCell ref="Q4:T4"/>
    <mergeCell ref="L3:M3"/>
    <mergeCell ref="R3:S3"/>
    <mergeCell ref="T3:U3"/>
    <mergeCell ref="A1:A3"/>
    <mergeCell ref="B1:D1"/>
    <mergeCell ref="N1:O1"/>
    <mergeCell ref="C3:D3"/>
    <mergeCell ref="G2:H2"/>
    <mergeCell ref="G1:H1"/>
    <mergeCell ref="E1:F1"/>
    <mergeCell ref="E2:F2"/>
    <mergeCell ref="E3:F3"/>
    <mergeCell ref="G3:H3"/>
    <mergeCell ref="C2:D2"/>
    <mergeCell ref="J1:K1"/>
    <mergeCell ref="J2:K2"/>
    <mergeCell ref="J3:K3"/>
    <mergeCell ref="L2:M2"/>
    <mergeCell ref="L1:M1"/>
    <mergeCell ref="AC1:AD1"/>
    <mergeCell ref="AE1:AG1"/>
    <mergeCell ref="AC2:AD2"/>
    <mergeCell ref="AC3:AD3"/>
    <mergeCell ref="AE2:AG2"/>
    <mergeCell ref="AE3:AG3"/>
    <mergeCell ref="AL1:AM1"/>
    <mergeCell ref="AL2:AM2"/>
    <mergeCell ref="AL3:AM3"/>
    <mergeCell ref="AN2:AP2"/>
    <mergeCell ref="AN3:AP3"/>
    <mergeCell ref="AN1:AP1"/>
    <mergeCell ref="BD4:BG4"/>
    <mergeCell ref="AX1:AZ1"/>
    <mergeCell ref="AU2:AW2"/>
    <mergeCell ref="AU3:AW3"/>
    <mergeCell ref="AX2:AZ2"/>
    <mergeCell ref="AX3:AZ3"/>
    <mergeCell ref="AU1:AW1"/>
    <mergeCell ref="BD1:BF1"/>
    <mergeCell ref="BG1:BI1"/>
    <mergeCell ref="BD2:BF2"/>
    <mergeCell ref="BG2:BI2"/>
    <mergeCell ref="BD3:BF3"/>
    <mergeCell ref="BG3:BI3"/>
    <mergeCell ref="BM4:BP4"/>
    <mergeCell ref="BV1:BX1"/>
    <mergeCell ref="BY1:CA1"/>
    <mergeCell ref="BV2:BX2"/>
    <mergeCell ref="BY2:CA2"/>
    <mergeCell ref="BV3:BX3"/>
    <mergeCell ref="BY3:CA3"/>
    <mergeCell ref="BV4:BY4"/>
    <mergeCell ref="BM1:BO1"/>
    <mergeCell ref="BP1:BR1"/>
    <mergeCell ref="BM2:BO2"/>
    <mergeCell ref="BP2:BR2"/>
    <mergeCell ref="BM3:BO3"/>
    <mergeCell ref="BP3:BR3"/>
    <mergeCell ref="CE4:CH4"/>
    <mergeCell ref="CE1:CG1"/>
    <mergeCell ref="CH1:CJ1"/>
    <mergeCell ref="CE2:CG2"/>
    <mergeCell ref="CH2:CJ2"/>
    <mergeCell ref="CE3:CG3"/>
    <mergeCell ref="CH3:CJ3"/>
    <mergeCell ref="CN4:CQ4"/>
    <mergeCell ref="CN1:CP1"/>
    <mergeCell ref="CQ1:CS1"/>
    <mergeCell ref="CN2:CP2"/>
    <mergeCell ref="CQ2:CS2"/>
    <mergeCell ref="CN3:CP3"/>
    <mergeCell ref="CQ3:CS3"/>
  </mergeCells>
  <conditionalFormatting sqref="G2">
    <cfRule type="cellIs" dxfId="1" priority="2" operator="greaterThanOrEqual">
      <formula>42001</formula>
    </cfRule>
  </conditionalFormatting>
  <conditionalFormatting sqref="L2">
    <cfRule type="cellIs" dxfId="0" priority="1" operator="greaterThanOrEqual">
      <formula>42001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2026-07-28T06:58:50Z</dcterms:modified>
</cp:coreProperties>
</file>